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ssignment\"/>
    </mc:Choice>
  </mc:AlternateContent>
  <bookViews>
    <workbookView xWindow="0" yWindow="0" windowWidth="23040" windowHeight="8616"/>
  </bookViews>
  <sheets>
    <sheet name="Exercise" sheetId="5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41393.570150463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9" i="5" l="1"/>
  <c r="D37" i="5"/>
  <c r="D30" i="5"/>
  <c r="D29" i="5"/>
  <c r="D28" i="5"/>
  <c r="D27" i="5"/>
  <c r="D25" i="5"/>
  <c r="C23" i="5"/>
  <c r="B23" i="5"/>
  <c r="B22" i="5"/>
  <c r="C22" i="5"/>
  <c r="C18" i="5"/>
  <c r="B11" i="5" s="1"/>
  <c r="D34" i="5" s="1"/>
  <c r="C16" i="5"/>
  <c r="G20" i="5" l="1"/>
  <c r="G27" i="5"/>
  <c r="G29" i="5"/>
  <c r="G11" i="5" l="1"/>
  <c r="G16" i="5" s="1"/>
  <c r="D26" i="5" s="1"/>
  <c r="D31" i="5" s="1"/>
  <c r="D33" i="5" s="1"/>
  <c r="D36" i="5" s="1"/>
  <c r="D38" i="5" s="1"/>
  <c r="B45" i="5" l="1"/>
</calcChain>
</file>

<file path=xl/comments1.xml><?xml version="1.0" encoding="utf-8"?>
<comments xmlns="http://schemas.openxmlformats.org/spreadsheetml/2006/main">
  <authors>
    <author>CF Institute</author>
    <author>Sandeep Agrawal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CF Institute:</t>
        </r>
        <r>
          <rPr>
            <sz val="9"/>
            <color indexed="81"/>
            <rFont val="Tahoma"/>
            <family val="2"/>
          </rPr>
          <t xml:space="preserve">
Assume cash portion financed entirely by debt for simplicity of this exercise.</t>
        </r>
      </text>
    </comment>
    <comment ref="D30" authorId="1" shapeId="0">
      <text>
        <r>
          <rPr>
            <b/>
            <sz val="9"/>
            <color indexed="81"/>
            <rFont val="Tahoma"/>
            <family val="2"/>
          </rPr>
          <t>Sandeep Agrawal:</t>
        </r>
        <r>
          <rPr>
            <sz val="9"/>
            <color indexed="81"/>
            <rFont val="Tahoma"/>
            <family val="2"/>
          </rPr>
          <t xml:space="preserve">
Synergies my be realized over a period of time (i.e. 3-5 years)
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CF Institute:</t>
        </r>
        <r>
          <rPr>
            <sz val="9"/>
            <color indexed="81"/>
            <rFont val="Tahoma"/>
            <family val="2"/>
          </rPr>
          <t xml:space="preserve">
INSTRUCTIONS: Change the blue assumptions below to see how the accretion/dilution analysis is impacted.  You'll need to hit F9 after making the changes to see the impact.</t>
        </r>
      </text>
    </comment>
  </commentList>
</comments>
</file>

<file path=xl/sharedStrings.xml><?xml version="1.0" encoding="utf-8"?>
<sst xmlns="http://schemas.openxmlformats.org/spreadsheetml/2006/main" count="61" uniqueCount="57">
  <si>
    <t>Google</t>
  </si>
  <si>
    <t>Acquirer</t>
  </si>
  <si>
    <t>Target</t>
  </si>
  <si>
    <t>Motorola</t>
  </si>
  <si>
    <t>Offer price per share</t>
  </si>
  <si>
    <t>Shares outstanding</t>
  </si>
  <si>
    <t>Offer value</t>
  </si>
  <si>
    <t>Pre-deal share price</t>
  </si>
  <si>
    <t>Current share price</t>
  </si>
  <si>
    <t>% Offer Premium</t>
  </si>
  <si>
    <t>% Stock</t>
  </si>
  <si>
    <t>Form of consideration</t>
  </si>
  <si>
    <t>% Cash</t>
  </si>
  <si>
    <t>Deal</t>
  </si>
  <si>
    <t>Assumptions</t>
  </si>
  <si>
    <t>Acquirer shares issued in transaction</t>
  </si>
  <si>
    <t>Diluted shares outstanding</t>
  </si>
  <si>
    <t>&lt;--Assume cash portion financed entirely by new acquirer debt for simplicity of this exercise.</t>
  </si>
  <si>
    <t>Interest rate on new debt</t>
  </si>
  <si>
    <t>Fair market value of target assets</t>
  </si>
  <si>
    <t xml:space="preserve">Book value of target assets </t>
  </si>
  <si>
    <t>Asset write-up</t>
  </si>
  <si>
    <t>Useful life</t>
  </si>
  <si>
    <t>Incremental D&amp;A expense</t>
  </si>
  <si>
    <t>Financing fees</t>
  </si>
  <si>
    <t>Less: Interest expense from new deal debt</t>
  </si>
  <si>
    <t>Less: Incremental D&amp;A expense</t>
  </si>
  <si>
    <t>Less: Deal fees</t>
  </si>
  <si>
    <t xml:space="preserve">Acquirer new borrowing </t>
  </si>
  <si>
    <t>Annual financing fee amortization</t>
  </si>
  <si>
    <t>Tax rate:</t>
  </si>
  <si>
    <t>Deal debt:</t>
  </si>
  <si>
    <t>Asset write-ups:</t>
  </si>
  <si>
    <t>Deal fees:</t>
  </si>
  <si>
    <t>Forma (Year 1)</t>
  </si>
  <si>
    <t>Synergies:</t>
  </si>
  <si>
    <t>Plus: Synergies</t>
  </si>
  <si>
    <t xml:space="preserve">Pro Forma Net Income </t>
  </si>
  <si>
    <t>Pro Forma Shares Outstanding</t>
  </si>
  <si>
    <t>Pro Forma EPS</t>
  </si>
  <si>
    <t>Acquirer standalone EPS</t>
  </si>
  <si>
    <t>Accretion / Dilution per share</t>
  </si>
  <si>
    <t>Accretion / Dilution %</t>
  </si>
  <si>
    <t>Accretion / dilution analysis</t>
  </si>
  <si>
    <t>Deal date:</t>
  </si>
  <si>
    <t>2013 Earnings per share (EPS) forecast</t>
  </si>
  <si>
    <t>Sensitivity analysis</t>
  </si>
  <si>
    <t>Offer price:</t>
  </si>
  <si>
    <t>% stock:</t>
  </si>
  <si>
    <t>Accretion / dilution sensitivity at various % consideration and $ offer price per share assumptions</t>
  </si>
  <si>
    <t>Term of loan</t>
  </si>
  <si>
    <t>Less: Financing fees amortization (Processing fees)</t>
  </si>
  <si>
    <r>
      <t xml:space="preserve">Implied standalone pretax income </t>
    </r>
    <r>
      <rPr>
        <b/>
        <i/>
        <sz val="11"/>
        <color theme="1"/>
        <rFont val="Calibri"/>
        <family val="2"/>
        <scheme val="minor"/>
      </rPr>
      <t>(PBT)</t>
    </r>
  </si>
  <si>
    <t>Pro-forma (G+M)</t>
  </si>
  <si>
    <r>
      <t xml:space="preserve">Implied standalone net income </t>
    </r>
    <r>
      <rPr>
        <b/>
        <i/>
        <sz val="11"/>
        <color theme="1"/>
        <rFont val="Calibri"/>
        <family val="2"/>
        <scheme val="minor"/>
      </rPr>
      <t>(PAT)</t>
    </r>
  </si>
  <si>
    <t>Pro forma pretax income - unadjusted (PBT)</t>
  </si>
  <si>
    <t>Pro forma pretax income - adjusted (PBT)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</si>
</sst>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0%_);\(0%\);@_)"/>
    <numFmt numFmtId="165" formatCode="0.0%_);\(0.0%\);@_)"/>
    <numFmt numFmtId="166" formatCode="0\ &quot;years&quot;"/>
    <numFmt numFmtId="167" formatCode="#,##0.0_);\(#,##0.0\);@_)"/>
    <numFmt numFmtId="168" formatCode="&quot;$&quot;#,##0.00_);\(&quot;$&quot;#,##0.00\);@_)"/>
    <numFmt numFmtId="169" formatCode="0.0%"/>
    <numFmt numFmtId="170" formatCode="#,##0_);\(#,##0\);@_)"/>
    <numFmt numFmtId="171" formatCode="&quot;$&quot;#,##0_);\(&quot;$&quot;#,##0\);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1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75">
    <xf numFmtId="0" fontId="0" fillId="0" borderId="0" xfId="0"/>
    <xf numFmtId="168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168" fontId="4" fillId="0" borderId="0" xfId="0" applyNumberFormat="1" applyFont="1"/>
    <xf numFmtId="0" fontId="0" fillId="0" borderId="3" xfId="0" applyBorder="1"/>
    <xf numFmtId="0" fontId="1" fillId="0" borderId="2" xfId="0" applyFont="1" applyBorder="1"/>
    <xf numFmtId="170" fontId="6" fillId="0" borderId="0" xfId="0" applyNumberFormat="1" applyFont="1"/>
    <xf numFmtId="170" fontId="0" fillId="0" borderId="0" xfId="0" applyNumberFormat="1"/>
    <xf numFmtId="170" fontId="4" fillId="0" borderId="0" xfId="0" applyNumberFormat="1" applyFont="1"/>
    <xf numFmtId="0" fontId="2" fillId="0" borderId="0" xfId="0" applyFont="1" applyAlignment="1">
      <alignment horizontal="left" indent="1"/>
    </xf>
    <xf numFmtId="0" fontId="9" fillId="0" borderId="0" xfId="0" applyFont="1"/>
    <xf numFmtId="0" fontId="1" fillId="0" borderId="1" xfId="0" applyFont="1" applyBorder="1"/>
    <xf numFmtId="0" fontId="1" fillId="0" borderId="10" xfId="0" applyFont="1" applyBorder="1"/>
    <xf numFmtId="0" fontId="0" fillId="0" borderId="7" xfId="0" applyBorder="1"/>
    <xf numFmtId="0" fontId="3" fillId="0" borderId="7" xfId="0" applyFont="1" applyBorder="1"/>
    <xf numFmtId="0" fontId="10" fillId="0" borderId="11" xfId="0" applyFont="1" applyBorder="1"/>
    <xf numFmtId="0" fontId="0" fillId="0" borderId="4" xfId="0" applyBorder="1"/>
    <xf numFmtId="169" fontId="4" fillId="0" borderId="4" xfId="0" applyNumberFormat="1" applyFont="1" applyBorder="1"/>
    <xf numFmtId="169" fontId="5" fillId="0" borderId="4" xfId="0" applyNumberFormat="1" applyFont="1" applyBorder="1"/>
    <xf numFmtId="10" fontId="4" fillId="0" borderId="4" xfId="0" applyNumberFormat="1" applyFont="1" applyBorder="1"/>
    <xf numFmtId="166" fontId="4" fillId="0" borderId="4" xfId="0" applyNumberFormat="1" applyFont="1" applyBorder="1"/>
    <xf numFmtId="167" fontId="5" fillId="0" borderId="4" xfId="0" applyNumberFormat="1" applyFont="1" applyBorder="1"/>
    <xf numFmtId="0" fontId="1" fillId="0" borderId="12" xfId="0" applyFont="1" applyBorder="1"/>
    <xf numFmtId="0" fontId="0" fillId="0" borderId="13" xfId="0" applyBorder="1"/>
    <xf numFmtId="0" fontId="3" fillId="0" borderId="8" xfId="0" applyFont="1" applyBorder="1"/>
    <xf numFmtId="14" fontId="4" fillId="0" borderId="4" xfId="0" applyNumberFormat="1" applyFont="1" applyBorder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6" xfId="0" applyFont="1" applyBorder="1" applyAlignment="1">
      <alignment horizontal="left" indent="1"/>
    </xf>
    <xf numFmtId="0" fontId="2" fillId="0" borderId="7" xfId="0" applyFont="1" applyBorder="1" applyAlignment="1">
      <alignment horizontal="left" indent="1"/>
    </xf>
    <xf numFmtId="0" fontId="9" fillId="0" borderId="7" xfId="0" applyFont="1" applyBorder="1" applyAlignment="1">
      <alignment horizontal="left" indent="1"/>
    </xf>
    <xf numFmtId="0" fontId="9" fillId="0" borderId="8" xfId="0" applyFont="1" applyBorder="1" applyAlignment="1">
      <alignment horizontal="left" indent="1"/>
    </xf>
    <xf numFmtId="168" fontId="4" fillId="2" borderId="0" xfId="0" applyNumberFormat="1" applyFont="1" applyFill="1"/>
    <xf numFmtId="0" fontId="1" fillId="3" borderId="14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12" fillId="0" borderId="2" xfId="0" applyFont="1" applyBorder="1"/>
    <xf numFmtId="0" fontId="0" fillId="0" borderId="2" xfId="0" applyBorder="1"/>
    <xf numFmtId="170" fontId="5" fillId="0" borderId="17" xfId="0" applyNumberFormat="1" applyFont="1" applyBorder="1"/>
    <xf numFmtId="170" fontId="0" fillId="0" borderId="1" xfId="0" applyNumberFormat="1" applyBorder="1"/>
    <xf numFmtId="170" fontId="5" fillId="0" borderId="20" xfId="0" applyNumberFormat="1" applyFont="1" applyBorder="1"/>
    <xf numFmtId="165" fontId="6" fillId="0" borderId="20" xfId="0" applyNumberFormat="1" applyFont="1" applyBorder="1"/>
    <xf numFmtId="168" fontId="1" fillId="0" borderId="19" xfId="0" applyNumberFormat="1" applyFont="1" applyBorder="1"/>
    <xf numFmtId="168" fontId="2" fillId="0" borderId="19" xfId="0" applyNumberFormat="1" applyFont="1" applyBorder="1"/>
    <xf numFmtId="165" fontId="9" fillId="0" borderId="17" xfId="0" applyNumberFormat="1" applyFont="1" applyBorder="1"/>
    <xf numFmtId="171" fontId="5" fillId="0" borderId="4" xfId="0" applyNumberFormat="1" applyFont="1" applyBorder="1"/>
    <xf numFmtId="171" fontId="4" fillId="0" borderId="4" xfId="0" applyNumberFormat="1" applyFont="1" applyBorder="1"/>
    <xf numFmtId="171" fontId="4" fillId="0" borderId="9" xfId="0" applyNumberFormat="1" applyFont="1" applyBorder="1"/>
    <xf numFmtId="171" fontId="5" fillId="0" borderId="20" xfId="0" applyNumberFormat="1" applyFont="1" applyBorder="1"/>
    <xf numFmtId="171" fontId="6" fillId="0" borderId="21" xfId="0" applyNumberFormat="1" applyFont="1" applyBorder="1"/>
    <xf numFmtId="171" fontId="6" fillId="0" borderId="22" xfId="0" applyNumberFormat="1" applyFont="1" applyBorder="1"/>
    <xf numFmtId="171" fontId="11" fillId="0" borderId="19" xfId="0" applyNumberFormat="1" applyFont="1" applyBorder="1"/>
    <xf numFmtId="171" fontId="5" fillId="0" borderId="17" xfId="0" applyNumberFormat="1" applyFont="1" applyBorder="1"/>
    <xf numFmtId="0" fontId="13" fillId="0" borderId="0" xfId="0" applyFont="1"/>
    <xf numFmtId="0" fontId="16" fillId="0" borderId="0" xfId="0" applyFont="1" applyAlignment="1">
      <alignment horizontal="left" indent="1"/>
    </xf>
    <xf numFmtId="171" fontId="11" fillId="0" borderId="18" xfId="0" applyNumberFormat="1" applyFont="1" applyBorder="1"/>
    <xf numFmtId="164" fontId="4" fillId="2" borderId="0" xfId="0" applyNumberFormat="1" applyFont="1" applyFill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8" fontId="9" fillId="4" borderId="19" xfId="0" applyNumberFormat="1" applyFont="1" applyFill="1" applyBorder="1"/>
    <xf numFmtId="0" fontId="1" fillId="5" borderId="3" xfId="0" applyFont="1" applyFill="1" applyBorder="1"/>
    <xf numFmtId="168" fontId="17" fillId="0" borderId="0" xfId="0" applyNumberFormat="1" applyFont="1"/>
    <xf numFmtId="168" fontId="15" fillId="0" borderId="0" xfId="0" applyNumberFormat="1" applyFont="1"/>
    <xf numFmtId="171" fontId="11" fillId="0" borderId="17" xfId="0" applyNumberFormat="1" applyFont="1" applyBorder="1"/>
    <xf numFmtId="168" fontId="15" fillId="2" borderId="1" xfId="0" applyNumberFormat="1" applyFont="1" applyFill="1" applyBorder="1"/>
    <xf numFmtId="168" fontId="0" fillId="0" borderId="0" xfId="0" applyNumberFormat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168" fontId="0" fillId="0" borderId="23" xfId="0" applyNumberFormat="1" applyBorder="1" applyAlignment="1">
      <alignment horizontal="center"/>
    </xf>
    <xf numFmtId="168" fontId="1" fillId="6" borderId="24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48"/>
  <sheetViews>
    <sheetView tabSelected="1" topLeftCell="A32" zoomScale="110" zoomScaleNormal="110" workbookViewId="0">
      <selection activeCell="D52" sqref="D52"/>
    </sheetView>
  </sheetViews>
  <sheetFormatPr defaultRowHeight="14.4" x14ac:dyDescent="0.3"/>
  <cols>
    <col min="1" max="1" width="39.5546875" bestFit="1" customWidth="1"/>
    <col min="2" max="3" width="17.21875" bestFit="1" customWidth="1"/>
    <col min="4" max="4" width="16.44140625" customWidth="1"/>
    <col min="5" max="5" width="9.77734375" customWidth="1"/>
    <col min="6" max="6" width="31.77734375" bestFit="1" customWidth="1"/>
    <col min="7" max="7" width="16.21875" bestFit="1" customWidth="1"/>
    <col min="8" max="8" width="6" customWidth="1"/>
  </cols>
  <sheetData>
    <row r="2" spans="1:10" ht="27.6" thickBot="1" x14ac:dyDescent="0.55000000000000004">
      <c r="A2" s="38" t="s">
        <v>43</v>
      </c>
      <c r="B2" s="39"/>
      <c r="C2" s="39"/>
      <c r="D2" s="39"/>
      <c r="E2" s="39"/>
      <c r="F2" s="39"/>
      <c r="G2" s="39"/>
    </row>
    <row r="3" spans="1:10" ht="15" thickBot="1" x14ac:dyDescent="0.35"/>
    <row r="4" spans="1:10" x14ac:dyDescent="0.3">
      <c r="B4" s="61" t="s">
        <v>1</v>
      </c>
      <c r="C4" s="61" t="s">
        <v>2</v>
      </c>
      <c r="D4" s="61" t="s">
        <v>53</v>
      </c>
      <c r="F4" s="24" t="s">
        <v>13</v>
      </c>
      <c r="G4" s="25"/>
    </row>
    <row r="5" spans="1:10" ht="15" thickBot="1" x14ac:dyDescent="0.35">
      <c r="B5" s="7" t="s">
        <v>0</v>
      </c>
      <c r="C5" s="7" t="s">
        <v>3</v>
      </c>
      <c r="D5" s="7" t="s">
        <v>34</v>
      </c>
      <c r="F5" s="14" t="s">
        <v>14</v>
      </c>
      <c r="G5" s="17"/>
    </row>
    <row r="6" spans="1:10" x14ac:dyDescent="0.3">
      <c r="F6" s="15"/>
      <c r="G6" s="18"/>
    </row>
    <row r="7" spans="1:10" x14ac:dyDescent="0.3">
      <c r="A7" s="4" t="s">
        <v>1</v>
      </c>
      <c r="F7" s="16" t="s">
        <v>44</v>
      </c>
      <c r="G7" s="27">
        <v>41275</v>
      </c>
    </row>
    <row r="8" spans="1:10" x14ac:dyDescent="0.3">
      <c r="A8" s="28" t="s">
        <v>8</v>
      </c>
      <c r="B8" s="5">
        <v>750</v>
      </c>
      <c r="F8" s="15"/>
      <c r="G8" s="18"/>
    </row>
    <row r="9" spans="1:10" x14ac:dyDescent="0.3">
      <c r="A9" s="28" t="s">
        <v>16</v>
      </c>
      <c r="B9" s="10">
        <v>310000000</v>
      </c>
      <c r="F9" s="16" t="s">
        <v>11</v>
      </c>
      <c r="G9" s="18"/>
    </row>
    <row r="10" spans="1:10" x14ac:dyDescent="0.3">
      <c r="A10" s="28" t="s">
        <v>45</v>
      </c>
      <c r="B10" s="5">
        <v>25</v>
      </c>
      <c r="F10" s="15" t="s">
        <v>10</v>
      </c>
      <c r="G10" s="19">
        <v>0.5</v>
      </c>
      <c r="H10" t="s">
        <v>17</v>
      </c>
    </row>
    <row r="11" spans="1:10" x14ac:dyDescent="0.3">
      <c r="A11" s="28" t="s">
        <v>15</v>
      </c>
      <c r="B11" s="42">
        <f>C18*G10/B8</f>
        <v>8400000</v>
      </c>
      <c r="F11" s="15" t="s">
        <v>12</v>
      </c>
      <c r="G11" s="20">
        <f>1-G10</f>
        <v>0.5</v>
      </c>
    </row>
    <row r="12" spans="1:10" x14ac:dyDescent="0.3">
      <c r="F12" s="15"/>
      <c r="G12" s="20"/>
    </row>
    <row r="13" spans="1:10" x14ac:dyDescent="0.3">
      <c r="A13" s="4" t="s">
        <v>2</v>
      </c>
      <c r="B13" s="1"/>
      <c r="F13" s="16" t="s">
        <v>30</v>
      </c>
      <c r="G13" s="21">
        <v>0.4</v>
      </c>
    </row>
    <row r="14" spans="1:10" x14ac:dyDescent="0.3">
      <c r="A14" s="28" t="s">
        <v>7</v>
      </c>
      <c r="C14" s="63">
        <v>24.539877300613497</v>
      </c>
      <c r="F14" s="15"/>
      <c r="G14" s="21"/>
    </row>
    <row r="15" spans="1:10" x14ac:dyDescent="0.3">
      <c r="A15" s="28" t="s">
        <v>4</v>
      </c>
      <c r="C15" s="63">
        <v>40</v>
      </c>
      <c r="F15" s="16" t="s">
        <v>31</v>
      </c>
      <c r="G15" s="18"/>
    </row>
    <row r="16" spans="1:10" x14ac:dyDescent="0.3">
      <c r="A16" s="11" t="s">
        <v>9</v>
      </c>
      <c r="B16" s="2"/>
      <c r="C16" s="43">
        <f>C15/C14-1</f>
        <v>0.62999999999999989</v>
      </c>
      <c r="F16" s="15" t="s">
        <v>28</v>
      </c>
      <c r="G16" s="47">
        <f>C18*G11</f>
        <v>6300000000</v>
      </c>
      <c r="J16" s="55"/>
    </row>
    <row r="17" spans="1:7" x14ac:dyDescent="0.3">
      <c r="A17" s="28" t="s">
        <v>5</v>
      </c>
      <c r="C17" s="10">
        <v>315000000</v>
      </c>
      <c r="F17" s="15" t="s">
        <v>50</v>
      </c>
      <c r="G17" s="22">
        <v>5</v>
      </c>
    </row>
    <row r="18" spans="1:7" x14ac:dyDescent="0.3">
      <c r="A18" s="28" t="s">
        <v>6</v>
      </c>
      <c r="C18" s="50">
        <f>C17*C15</f>
        <v>12600000000</v>
      </c>
      <c r="F18" s="15" t="s">
        <v>18</v>
      </c>
      <c r="G18" s="19">
        <v>0.05</v>
      </c>
    </row>
    <row r="19" spans="1:7" x14ac:dyDescent="0.3">
      <c r="A19" s="28" t="s">
        <v>45</v>
      </c>
      <c r="C19" s="5">
        <v>2</v>
      </c>
      <c r="F19" s="15" t="s">
        <v>24</v>
      </c>
      <c r="G19" s="48">
        <v>2000000</v>
      </c>
    </row>
    <row r="20" spans="1:7" x14ac:dyDescent="0.3">
      <c r="F20" s="15" t="s">
        <v>29</v>
      </c>
      <c r="G20" s="47">
        <f>G19/G17</f>
        <v>400000</v>
      </c>
    </row>
    <row r="21" spans="1:7" x14ac:dyDescent="0.3">
      <c r="A21" s="4" t="s">
        <v>43</v>
      </c>
      <c r="F21" s="15"/>
      <c r="G21" s="21"/>
    </row>
    <row r="22" spans="1:7" x14ac:dyDescent="0.3">
      <c r="A22" s="11" t="s">
        <v>54</v>
      </c>
      <c r="B22" s="51">
        <f>B10*B9</f>
        <v>7750000000</v>
      </c>
      <c r="C22" s="51">
        <f>C19*C17</f>
        <v>630000000</v>
      </c>
      <c r="D22" s="9"/>
      <c r="F22" s="16" t="s">
        <v>35</v>
      </c>
      <c r="G22" s="48">
        <v>100000000</v>
      </c>
    </row>
    <row r="23" spans="1:7" x14ac:dyDescent="0.3">
      <c r="A23" s="11" t="s">
        <v>52</v>
      </c>
      <c r="B23" s="52">
        <f>B22/(1-$G$13)</f>
        <v>12916666666.666668</v>
      </c>
      <c r="C23" s="52">
        <f>C22/(1-$G$13)</f>
        <v>1050000000</v>
      </c>
      <c r="D23" s="9"/>
      <c r="F23" s="15"/>
      <c r="G23" s="21"/>
    </row>
    <row r="24" spans="1:7" x14ac:dyDescent="0.3">
      <c r="A24" s="11"/>
      <c r="B24" s="8"/>
      <c r="C24" s="8"/>
      <c r="D24" s="9"/>
      <c r="F24" s="16" t="s">
        <v>32</v>
      </c>
      <c r="G24" s="21"/>
    </row>
    <row r="25" spans="1:7" x14ac:dyDescent="0.3">
      <c r="A25" s="29" t="s">
        <v>55</v>
      </c>
      <c r="B25" s="8"/>
      <c r="C25" s="8"/>
      <c r="D25" s="64">
        <f>SUM(B23:C23)</f>
        <v>13966666666.666668</v>
      </c>
      <c r="F25" s="15" t="s">
        <v>20</v>
      </c>
      <c r="G25" s="48">
        <v>20000000</v>
      </c>
    </row>
    <row r="26" spans="1:7" x14ac:dyDescent="0.3">
      <c r="A26" s="56" t="s">
        <v>25</v>
      </c>
      <c r="D26" s="54">
        <f>-(G16*G18)</f>
        <v>-315000000</v>
      </c>
      <c r="F26" s="15" t="s">
        <v>19</v>
      </c>
      <c r="G26" s="48">
        <v>25000000</v>
      </c>
    </row>
    <row r="27" spans="1:7" x14ac:dyDescent="0.3">
      <c r="A27" s="28" t="s">
        <v>26</v>
      </c>
      <c r="D27" s="54">
        <f>-G29</f>
        <v>-500000</v>
      </c>
      <c r="F27" s="15" t="s">
        <v>21</v>
      </c>
      <c r="G27" s="47">
        <f>G26-G25</f>
        <v>5000000</v>
      </c>
    </row>
    <row r="28" spans="1:7" x14ac:dyDescent="0.3">
      <c r="A28" s="28" t="s">
        <v>27</v>
      </c>
      <c r="D28" s="54">
        <f>-G31</f>
        <v>-5000000</v>
      </c>
      <c r="F28" s="15" t="s">
        <v>22</v>
      </c>
      <c r="G28" s="22">
        <v>10</v>
      </c>
    </row>
    <row r="29" spans="1:7" x14ac:dyDescent="0.3">
      <c r="A29" s="28" t="s">
        <v>51</v>
      </c>
      <c r="D29" s="54">
        <f>-G20</f>
        <v>-400000</v>
      </c>
      <c r="F29" s="15" t="s">
        <v>23</v>
      </c>
      <c r="G29" s="47">
        <f>G27/G28</f>
        <v>500000</v>
      </c>
    </row>
    <row r="30" spans="1:7" x14ac:dyDescent="0.3">
      <c r="A30" s="28" t="s">
        <v>36</v>
      </c>
      <c r="D30" s="54">
        <f>G22</f>
        <v>100000000</v>
      </c>
      <c r="E30" s="18"/>
      <c r="F30" s="15"/>
      <c r="G30" s="23"/>
    </row>
    <row r="31" spans="1:7" x14ac:dyDescent="0.3">
      <c r="A31" s="29" t="s">
        <v>56</v>
      </c>
      <c r="D31" s="57">
        <f>SUM(D25:D30)</f>
        <v>13745766666.666668</v>
      </c>
      <c r="E31" s="18"/>
      <c r="F31" s="26" t="s">
        <v>33</v>
      </c>
      <c r="G31" s="49">
        <v>5000000</v>
      </c>
    </row>
    <row r="32" spans="1:7" x14ac:dyDescent="0.3">
      <c r="A32" s="28"/>
      <c r="D32" s="41"/>
    </row>
    <row r="33" spans="1:5" x14ac:dyDescent="0.3">
      <c r="A33" s="29" t="s">
        <v>37</v>
      </c>
      <c r="D33" s="53">
        <f>D31*(1-G13)</f>
        <v>8247460000</v>
      </c>
    </row>
    <row r="34" spans="1:5" x14ac:dyDescent="0.3">
      <c r="A34" s="28" t="s">
        <v>38</v>
      </c>
      <c r="D34" s="40">
        <f>B9+B11</f>
        <v>318400000</v>
      </c>
    </row>
    <row r="35" spans="1:5" x14ac:dyDescent="0.3">
      <c r="A35" s="28"/>
      <c r="D35" s="9"/>
    </row>
    <row r="36" spans="1:5" x14ac:dyDescent="0.3">
      <c r="A36" s="30" t="s">
        <v>39</v>
      </c>
      <c r="B36" s="6"/>
      <c r="C36" s="6"/>
      <c r="D36" s="44">
        <f>D33/D34</f>
        <v>25.90282663316583</v>
      </c>
    </row>
    <row r="37" spans="1:5" x14ac:dyDescent="0.3">
      <c r="A37" s="31" t="s">
        <v>40</v>
      </c>
      <c r="B37" s="2"/>
      <c r="C37" s="2"/>
      <c r="D37" s="45">
        <f>B10</f>
        <v>25</v>
      </c>
    </row>
    <row r="38" spans="1:5" x14ac:dyDescent="0.3">
      <c r="A38" s="32" t="s">
        <v>41</v>
      </c>
      <c r="B38" s="12"/>
      <c r="C38" s="12"/>
      <c r="D38" s="60">
        <f>D36-D37</f>
        <v>0.90282663316583012</v>
      </c>
    </row>
    <row r="39" spans="1:5" x14ac:dyDescent="0.3">
      <c r="A39" s="33" t="s">
        <v>42</v>
      </c>
      <c r="B39" s="13"/>
      <c r="C39" s="13"/>
      <c r="D39" s="46">
        <f>D38/D37</f>
        <v>3.6113065326633206E-2</v>
      </c>
    </row>
    <row r="42" spans="1:5" x14ac:dyDescent="0.3">
      <c r="A42" s="3" t="s">
        <v>46</v>
      </c>
    </row>
    <row r="43" spans="1:5" x14ac:dyDescent="0.3">
      <c r="A43" s="35" t="s">
        <v>49</v>
      </c>
      <c r="B43" s="36"/>
      <c r="C43" s="36"/>
      <c r="D43" s="36"/>
      <c r="E43" s="37"/>
    </row>
    <row r="44" spans="1:5" x14ac:dyDescent="0.3">
      <c r="A44" s="15"/>
      <c r="C44" s="73" t="s">
        <v>48</v>
      </c>
      <c r="D44" s="73"/>
      <c r="E44" s="74"/>
    </row>
    <row r="45" spans="1:5" x14ac:dyDescent="0.3">
      <c r="A45" s="15"/>
      <c r="B45" s="62">
        <f>D38</f>
        <v>0.90282663316583012</v>
      </c>
      <c r="C45" s="58">
        <v>0.3</v>
      </c>
      <c r="D45" s="58">
        <v>0.5</v>
      </c>
      <c r="E45" s="59">
        <v>1</v>
      </c>
    </row>
    <row r="46" spans="1:5" x14ac:dyDescent="0.3">
      <c r="A46" s="71" t="s">
        <v>47</v>
      </c>
      <c r="B46" s="34">
        <v>25</v>
      </c>
      <c r="C46" s="66">
        <f t="dataTable" ref="C46:E48" dt2D="1" dtr="1" r1="G10" r2="C15"/>
        <v>1.4125339294267931</v>
      </c>
      <c r="D46" s="66">
        <v>1.3864710547184771</v>
      </c>
      <c r="E46" s="67">
        <v>1.3228081123244912</v>
      </c>
    </row>
    <row r="47" spans="1:5" x14ac:dyDescent="0.3">
      <c r="A47" s="71"/>
      <c r="B47" s="34">
        <v>35</v>
      </c>
      <c r="C47" s="66">
        <v>1.0962914665564085</v>
      </c>
      <c r="D47" s="66">
        <v>1.0629746336852044</v>
      </c>
      <c r="E47" s="67">
        <v>0.98232214351709146</v>
      </c>
    </row>
    <row r="48" spans="1:5" x14ac:dyDescent="0.3">
      <c r="A48" s="72"/>
      <c r="B48" s="65">
        <v>40</v>
      </c>
      <c r="C48" s="68">
        <v>0.93911884205180129</v>
      </c>
      <c r="D48" s="70">
        <v>0.90282663316583012</v>
      </c>
      <c r="E48" s="69">
        <v>0.81536107711138328</v>
      </c>
    </row>
  </sheetData>
  <mergeCells count="2">
    <mergeCell ref="A46:A48"/>
    <mergeCell ref="C44:E4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Win 10</cp:lastModifiedBy>
  <cp:lastPrinted>2023-02-04T08:00:24Z</cp:lastPrinted>
  <dcterms:created xsi:type="dcterms:W3CDTF">2013-04-15T21:20:22Z</dcterms:created>
  <dcterms:modified xsi:type="dcterms:W3CDTF">2025-09-06T12:07:51Z</dcterms:modified>
</cp:coreProperties>
</file>