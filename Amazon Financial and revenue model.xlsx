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ssignment\FM\"/>
    </mc:Choice>
  </mc:AlternateContent>
  <bookViews>
    <workbookView xWindow="0" yWindow="0" windowWidth="23040" windowHeight="8616" tabRatio="845" activeTab="2"/>
  </bookViews>
  <sheets>
    <sheet name="Assumption" sheetId="9" r:id="rId1"/>
    <sheet name="Scenerio" sheetId="11" r:id="rId2"/>
    <sheet name="Revenue model" sheetId="8" r:id="rId3"/>
    <sheet name="Operating Model - IS, BS, CF" sheetId="1" r:id="rId4"/>
    <sheet name="Ratio Analysis" sheetId="7" r:id="rId5"/>
    <sheet name="D&amp;A Schedule" sheetId="2" r:id="rId6"/>
    <sheet name="Working Cap Schedule" sheetId="3" r:id="rId7"/>
    <sheet name="Debt and Interest Schedule " sheetId="4" r:id="rId8"/>
    <sheet name="Equity Schedule" sheetId="5" r:id="rId9"/>
    <sheet name="DCF" sheetId="6" r:id="rId10"/>
  </sheets>
  <calcPr calcId="162913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4" i="6" l="1"/>
  <c r="G49" i="7" l="1"/>
  <c r="G42" i="7"/>
  <c r="H42" i="7"/>
  <c r="I42" i="7"/>
  <c r="J42" i="7"/>
  <c r="K42" i="7"/>
  <c r="F42" i="7"/>
  <c r="G37" i="7"/>
  <c r="H37" i="7"/>
  <c r="I37" i="7"/>
  <c r="J37" i="7"/>
  <c r="K37" i="7"/>
  <c r="F37" i="7"/>
  <c r="G38" i="7"/>
  <c r="G43" i="7" s="1"/>
  <c r="G45" i="7" s="1"/>
  <c r="H38" i="7"/>
  <c r="H43" i="7" s="1"/>
  <c r="H45" i="7" s="1"/>
  <c r="I38" i="7"/>
  <c r="I43" i="7" s="1"/>
  <c r="I45" i="7" s="1"/>
  <c r="J38" i="7"/>
  <c r="J43" i="7" s="1"/>
  <c r="J45" i="7" s="1"/>
  <c r="K38" i="7"/>
  <c r="K43" i="7" s="1"/>
  <c r="K45" i="7" s="1"/>
  <c r="F38" i="7"/>
  <c r="F43" i="7" s="1"/>
  <c r="F45" i="7" s="1"/>
  <c r="G14" i="7"/>
  <c r="F14" i="7"/>
  <c r="G13" i="7"/>
  <c r="F13" i="7"/>
  <c r="G36" i="7"/>
  <c r="H36" i="7"/>
  <c r="I36" i="7"/>
  <c r="J36" i="7"/>
  <c r="J41" i="7" s="1"/>
  <c r="K36" i="7"/>
  <c r="F36" i="7"/>
  <c r="G41" i="7"/>
  <c r="H41" i="7"/>
  <c r="I41" i="7"/>
  <c r="K41" i="7"/>
  <c r="F41" i="7"/>
  <c r="F33" i="7" l="1"/>
  <c r="G33" i="7"/>
  <c r="H33" i="7"/>
  <c r="I33" i="7"/>
  <c r="J33" i="7"/>
  <c r="K33" i="7"/>
  <c r="E33" i="7"/>
  <c r="G10" i="6"/>
  <c r="E32" i="7"/>
  <c r="G6" i="6"/>
  <c r="H6" i="6"/>
  <c r="I6" i="6"/>
  <c r="J6" i="6"/>
  <c r="K6" i="6"/>
  <c r="F32" i="7"/>
  <c r="G32" i="7"/>
  <c r="H32" i="7"/>
  <c r="I32" i="7"/>
  <c r="J32" i="7"/>
  <c r="K32" i="7"/>
  <c r="F28" i="7"/>
  <c r="G28" i="7"/>
  <c r="H28" i="7"/>
  <c r="I28" i="7"/>
  <c r="J28" i="7"/>
  <c r="K28" i="7"/>
  <c r="E28" i="7"/>
  <c r="L25" i="7"/>
  <c r="F25" i="7"/>
  <c r="G25" i="7"/>
  <c r="E25" i="7"/>
  <c r="F24" i="7"/>
  <c r="G24" i="7"/>
  <c r="E24" i="7"/>
  <c r="F23" i="7"/>
  <c r="G23" i="7"/>
  <c r="E23" i="7"/>
  <c r="F20" i="7"/>
  <c r="G20" i="7"/>
  <c r="E20" i="7"/>
  <c r="F19" i="7"/>
  <c r="G19" i="7"/>
  <c r="E19" i="7"/>
  <c r="F18" i="7"/>
  <c r="G18" i="7"/>
  <c r="E18" i="7"/>
  <c r="F15" i="7"/>
  <c r="G15" i="7"/>
  <c r="E15" i="7"/>
  <c r="F10" i="7" l="1"/>
  <c r="G10" i="7"/>
  <c r="E10" i="7"/>
  <c r="F9" i="7"/>
  <c r="G9" i="7"/>
  <c r="H9" i="7"/>
  <c r="I9" i="7"/>
  <c r="J9" i="7"/>
  <c r="K9" i="7"/>
  <c r="L9" i="7"/>
  <c r="E9" i="7"/>
  <c r="F8" i="7"/>
  <c r="G8" i="7"/>
  <c r="H8" i="7"/>
  <c r="I8" i="7"/>
  <c r="J8" i="7"/>
  <c r="K8" i="7"/>
  <c r="L8" i="7"/>
  <c r="E8" i="7"/>
  <c r="E7" i="7"/>
  <c r="I53" i="6" l="1"/>
  <c r="I52" i="6"/>
  <c r="G53" i="6"/>
  <c r="G52" i="6"/>
  <c r="H54" i="6"/>
  <c r="W10" i="6"/>
  <c r="W9" i="6"/>
  <c r="F28" i="6"/>
  <c r="D28" i="6"/>
  <c r="F22" i="6"/>
  <c r="F23" i="6"/>
  <c r="F24" i="6"/>
  <c r="F25" i="6"/>
  <c r="F21" i="6"/>
  <c r="D25" i="6"/>
  <c r="W7" i="6"/>
  <c r="D21" i="6" s="1"/>
  <c r="D23" i="6"/>
  <c r="H52" i="6" l="1"/>
  <c r="H53" i="6"/>
  <c r="D24" i="1" l="1"/>
  <c r="E16" i="2"/>
  <c r="D16" i="2"/>
  <c r="F16" i="9"/>
  <c r="E16" i="9"/>
  <c r="F14" i="2"/>
  <c r="E14" i="2"/>
  <c r="D14" i="2"/>
  <c r="G9" i="2"/>
  <c r="D12" i="2"/>
  <c r="E9" i="2"/>
  <c r="E23" i="3"/>
  <c r="V12" i="6"/>
  <c r="H7" i="2" l="1"/>
  <c r="G7" i="2"/>
  <c r="F10" i="3"/>
  <c r="F9" i="3"/>
  <c r="F22" i="3"/>
  <c r="F23" i="3" s="1"/>
  <c r="F19" i="3"/>
  <c r="F12" i="3"/>
  <c r="E39" i="9"/>
  <c r="D12" i="3"/>
  <c r="D17" i="3"/>
  <c r="D19" i="3" s="1"/>
  <c r="E22" i="3"/>
  <c r="D16" i="3"/>
  <c r="G24" i="2"/>
  <c r="D7" i="2"/>
  <c r="D6" i="2"/>
  <c r="G18" i="1"/>
  <c r="G16" i="1"/>
  <c r="W6" i="6"/>
  <c r="V15" i="6"/>
  <c r="G12" i="1"/>
  <c r="H12" i="1"/>
  <c r="F21" i="1"/>
  <c r="G8" i="1"/>
  <c r="G14" i="1"/>
  <c r="D6" i="3" l="1"/>
  <c r="F6" i="3" l="1"/>
  <c r="V27" i="8"/>
  <c r="W31" i="8"/>
  <c r="X31" i="8"/>
  <c r="Y31" i="8"/>
  <c r="V31" i="8"/>
  <c r="W29" i="8"/>
  <c r="X29" i="8"/>
  <c r="Y29" i="8"/>
  <c r="V29" i="8"/>
  <c r="W27" i="8"/>
  <c r="X27" i="8"/>
  <c r="Y27" i="8"/>
  <c r="G5" i="11"/>
  <c r="U9" i="8" s="1"/>
  <c r="K35" i="11"/>
  <c r="Y21" i="8" s="1"/>
  <c r="J35" i="11"/>
  <c r="X21" i="8" s="1"/>
  <c r="I35" i="11"/>
  <c r="W21" i="8" s="1"/>
  <c r="H35" i="11"/>
  <c r="V21" i="8" s="1"/>
  <c r="G35" i="11"/>
  <c r="U21" i="8" s="1"/>
  <c r="K30" i="11"/>
  <c r="Y19" i="8" s="1"/>
  <c r="J30" i="11"/>
  <c r="X19" i="8" s="1"/>
  <c r="I30" i="11"/>
  <c r="W19" i="8" s="1"/>
  <c r="H30" i="11"/>
  <c r="V19" i="8" s="1"/>
  <c r="G30" i="11"/>
  <c r="U19" i="8" s="1"/>
  <c r="K25" i="11"/>
  <c r="Y17" i="8" s="1"/>
  <c r="J25" i="11"/>
  <c r="X17" i="8" s="1"/>
  <c r="I25" i="11"/>
  <c r="W17" i="8" s="1"/>
  <c r="H25" i="11"/>
  <c r="V17" i="8" s="1"/>
  <c r="G25" i="11"/>
  <c r="U17" i="8" s="1"/>
  <c r="K20" i="11"/>
  <c r="Y15" i="8" s="1"/>
  <c r="J20" i="11"/>
  <c r="X15" i="8" s="1"/>
  <c r="I20" i="11"/>
  <c r="W15" i="8" s="1"/>
  <c r="H20" i="11"/>
  <c r="V15" i="8" s="1"/>
  <c r="G20" i="11"/>
  <c r="U15" i="8" s="1"/>
  <c r="K15" i="11"/>
  <c r="Y13" i="8" s="1"/>
  <c r="J15" i="11"/>
  <c r="X13" i="8" s="1"/>
  <c r="I15" i="11"/>
  <c r="W13" i="8" s="1"/>
  <c r="H15" i="11"/>
  <c r="V13" i="8" s="1"/>
  <c r="G15" i="11"/>
  <c r="U13" i="8" s="1"/>
  <c r="G10" i="11"/>
  <c r="U11" i="8" s="1"/>
  <c r="K10" i="11"/>
  <c r="Y11" i="8" s="1"/>
  <c r="J10" i="11"/>
  <c r="X11" i="8" s="1"/>
  <c r="I10" i="11"/>
  <c r="W11" i="8" s="1"/>
  <c r="H10" i="11"/>
  <c r="V11" i="8" s="1"/>
  <c r="H5" i="11"/>
  <c r="V9" i="8" s="1"/>
  <c r="I5" i="11"/>
  <c r="W9" i="8" s="1"/>
  <c r="J5" i="11"/>
  <c r="X9" i="8" s="1"/>
  <c r="K5" i="11"/>
  <c r="Y9" i="8" s="1"/>
  <c r="E3" i="11"/>
  <c r="F3" i="11" s="1"/>
  <c r="G3" i="11" s="1"/>
  <c r="H3" i="11" s="1"/>
  <c r="I3" i="11" s="1"/>
  <c r="J3" i="11" s="1"/>
  <c r="K3" i="11" s="1"/>
  <c r="U11" i="4" l="1"/>
  <c r="H7" i="5"/>
  <c r="I7" i="5"/>
  <c r="J7" i="5"/>
  <c r="K7" i="5"/>
  <c r="G7" i="5"/>
  <c r="H6" i="5"/>
  <c r="I6" i="5"/>
  <c r="J6" i="5"/>
  <c r="K6" i="5"/>
  <c r="G6" i="5"/>
  <c r="G6" i="9"/>
  <c r="H7" i="4"/>
  <c r="I7" i="4"/>
  <c r="J7" i="4"/>
  <c r="K7" i="4"/>
  <c r="G7" i="4"/>
  <c r="H6" i="4"/>
  <c r="I6" i="4"/>
  <c r="J6" i="4"/>
  <c r="K6" i="4"/>
  <c r="G6" i="4"/>
  <c r="H23" i="2"/>
  <c r="I23" i="2"/>
  <c r="J23" i="2"/>
  <c r="K23" i="2"/>
  <c r="G23" i="2"/>
  <c r="E22" i="2" l="1"/>
  <c r="G48" i="1"/>
  <c r="H24" i="2"/>
  <c r="I24" i="2"/>
  <c r="J24" i="2"/>
  <c r="K24" i="2"/>
  <c r="G22" i="2"/>
  <c r="G25" i="2" s="1"/>
  <c r="H22" i="2" s="1"/>
  <c r="H25" i="2" s="1"/>
  <c r="I22" i="2" s="1"/>
  <c r="I25" i="2" s="1"/>
  <c r="J22" i="2" s="1"/>
  <c r="J25" i="2" s="1"/>
  <c r="K22" i="2" s="1"/>
  <c r="K25" i="2" s="1"/>
  <c r="K49" i="1" s="1"/>
  <c r="F22" i="2"/>
  <c r="G49" i="1" l="1"/>
  <c r="J49" i="1"/>
  <c r="I49" i="1"/>
  <c r="H49" i="1"/>
  <c r="G46" i="1"/>
  <c r="E6" i="9"/>
  <c r="F6" i="9" s="1"/>
  <c r="H6" i="9" s="1"/>
  <c r="I6" i="9" s="1"/>
  <c r="J6" i="9" s="1"/>
  <c r="K6" i="9" s="1"/>
  <c r="K57" i="1"/>
  <c r="E29" i="4"/>
  <c r="F27" i="4" s="1"/>
  <c r="F29" i="4"/>
  <c r="G27" i="4" s="1"/>
  <c r="D29" i="4"/>
  <c r="E27" i="4" s="1"/>
  <c r="E106" i="1" l="1"/>
  <c r="D106" i="1"/>
  <c r="E108" i="1"/>
  <c r="D108" i="1"/>
  <c r="H98" i="1"/>
  <c r="H24" i="4" s="1"/>
  <c r="I98" i="1"/>
  <c r="I24" i="4" s="1"/>
  <c r="J98" i="1"/>
  <c r="J24" i="4" s="1"/>
  <c r="K98" i="1"/>
  <c r="K24" i="4" s="1"/>
  <c r="G98" i="1"/>
  <c r="G24" i="4" s="1"/>
  <c r="H97" i="1"/>
  <c r="H23" i="4" s="1"/>
  <c r="I97" i="1"/>
  <c r="I23" i="4" s="1"/>
  <c r="J97" i="1"/>
  <c r="J23" i="4" s="1"/>
  <c r="K97" i="1"/>
  <c r="K23" i="4" s="1"/>
  <c r="G97" i="1"/>
  <c r="G23" i="4" s="1"/>
  <c r="X7" i="4"/>
  <c r="X9" i="4"/>
  <c r="G95" i="1"/>
  <c r="G21" i="4" s="1"/>
  <c r="H95" i="1"/>
  <c r="H21" i="4" s="1"/>
  <c r="I95" i="1"/>
  <c r="I21" i="4" s="1"/>
  <c r="J95" i="1"/>
  <c r="J21" i="4" s="1"/>
  <c r="H96" i="1"/>
  <c r="H22" i="4" s="1"/>
  <c r="I96" i="1"/>
  <c r="I22" i="4" s="1"/>
  <c r="J96" i="1"/>
  <c r="J22" i="4" s="1"/>
  <c r="K96" i="1"/>
  <c r="K22" i="4" s="1"/>
  <c r="G96" i="1"/>
  <c r="G22" i="4" s="1"/>
  <c r="K95" i="1"/>
  <c r="K21" i="4" s="1"/>
  <c r="H94" i="1"/>
  <c r="H20" i="4" s="1"/>
  <c r="I94" i="1"/>
  <c r="I20" i="4" s="1"/>
  <c r="J94" i="1"/>
  <c r="J20" i="4" s="1"/>
  <c r="K94" i="1"/>
  <c r="K20" i="4" s="1"/>
  <c r="G94" i="1"/>
  <c r="G20" i="4" s="1"/>
  <c r="H100" i="1" l="1"/>
  <c r="G100" i="1"/>
  <c r="U18" i="8" l="1"/>
  <c r="V18" i="8" s="1"/>
  <c r="W18" i="8" s="1"/>
  <c r="T20" i="8"/>
  <c r="U20" i="8" s="1"/>
  <c r="O20" i="8"/>
  <c r="O21" i="8" s="1"/>
  <c r="J20" i="8"/>
  <c r="T18" i="8"/>
  <c r="O18" i="8"/>
  <c r="J18" i="8"/>
  <c r="T16" i="8"/>
  <c r="U16" i="8" s="1"/>
  <c r="V16" i="8" s="1"/>
  <c r="W16" i="8" s="1"/>
  <c r="X16" i="8" s="1"/>
  <c r="Y16" i="8" s="1"/>
  <c r="O16" i="8"/>
  <c r="J16" i="8"/>
  <c r="O17" i="8" s="1"/>
  <c r="T14" i="8"/>
  <c r="U14" i="8" s="1"/>
  <c r="V14" i="8" s="1"/>
  <c r="W14" i="8" s="1"/>
  <c r="X14" i="8" s="1"/>
  <c r="Y14" i="8" s="1"/>
  <c r="O14" i="8"/>
  <c r="O15" i="8" s="1"/>
  <c r="J14" i="8"/>
  <c r="T12" i="8"/>
  <c r="T13" i="8" s="1"/>
  <c r="O12" i="8"/>
  <c r="J12" i="8"/>
  <c r="T10" i="8"/>
  <c r="U10" i="8" s="1"/>
  <c r="V10" i="8" s="1"/>
  <c r="W10" i="8" s="1"/>
  <c r="X10" i="8" s="1"/>
  <c r="Y10" i="8" s="1"/>
  <c r="O10" i="8"/>
  <c r="J10" i="8"/>
  <c r="T8" i="8"/>
  <c r="U8" i="8" s="1"/>
  <c r="O8" i="8"/>
  <c r="J8" i="8"/>
  <c r="O9" i="8" s="1"/>
  <c r="T21" i="8" l="1"/>
  <c r="X18" i="8"/>
  <c r="V20" i="8"/>
  <c r="V8" i="8"/>
  <c r="T17" i="8"/>
  <c r="O19" i="8"/>
  <c r="T15" i="8"/>
  <c r="O11" i="8"/>
  <c r="O13" i="8"/>
  <c r="T11" i="8"/>
  <c r="T9" i="8"/>
  <c r="T19" i="8"/>
  <c r="D14" i="5"/>
  <c r="W8" i="8" l="1"/>
  <c r="X8" i="8" s="1"/>
  <c r="Y8" i="8" s="1"/>
  <c r="U12" i="8"/>
  <c r="U23" i="8" s="1"/>
  <c r="G5" i="1" s="1"/>
  <c r="G6" i="1" s="1"/>
  <c r="Y18" i="8"/>
  <c r="W20" i="8"/>
  <c r="V12" i="8" l="1"/>
  <c r="V23" i="8" s="1"/>
  <c r="X20" i="8"/>
  <c r="G63" i="1"/>
  <c r="H63" i="1" s="1"/>
  <c r="I63" i="1" s="1"/>
  <c r="J63" i="1" s="1"/>
  <c r="K63" i="1" s="1"/>
  <c r="F106" i="1"/>
  <c r="F108" i="1" s="1"/>
  <c r="F14" i="5"/>
  <c r="G11" i="5" s="1"/>
  <c r="F73" i="1"/>
  <c r="G38" i="1"/>
  <c r="H38" i="1" s="1"/>
  <c r="I38" i="1" s="1"/>
  <c r="J38" i="1" s="1"/>
  <c r="K38" i="1" s="1"/>
  <c r="G65" i="1"/>
  <c r="H65" i="1" s="1"/>
  <c r="I65" i="1" s="1"/>
  <c r="J65" i="1" s="1"/>
  <c r="K65" i="1" s="1"/>
  <c r="H48" i="1"/>
  <c r="I48" i="1" s="1"/>
  <c r="J48" i="1" s="1"/>
  <c r="K48" i="1" s="1"/>
  <c r="G47" i="1"/>
  <c r="H47" i="1" s="1"/>
  <c r="I47" i="1" s="1"/>
  <c r="J47" i="1" s="1"/>
  <c r="K47" i="1" s="1"/>
  <c r="H46" i="1"/>
  <c r="I46" i="1" s="1"/>
  <c r="J46" i="1" s="1"/>
  <c r="K46" i="1" s="1"/>
  <c r="E14" i="5"/>
  <c r="F11" i="5" s="1"/>
  <c r="E11" i="5"/>
  <c r="F8" i="5"/>
  <c r="G5" i="5" s="1"/>
  <c r="G8" i="5" s="1"/>
  <c r="H5" i="5" s="1"/>
  <c r="H8" i="5" s="1"/>
  <c r="I5" i="5" s="1"/>
  <c r="I8" i="5" s="1"/>
  <c r="J5" i="5" s="1"/>
  <c r="J8" i="5" s="1"/>
  <c r="K5" i="5" s="1"/>
  <c r="K8" i="5" s="1"/>
  <c r="K73" i="1" s="1"/>
  <c r="F75" i="1"/>
  <c r="D73" i="1"/>
  <c r="D8" i="5" s="1"/>
  <c r="E5" i="5" s="1"/>
  <c r="E73" i="1"/>
  <c r="E8" i="5" s="1"/>
  <c r="F5" i="5" s="1"/>
  <c r="E4" i="5"/>
  <c r="F4" i="5" s="1"/>
  <c r="G4" i="5" s="1"/>
  <c r="H4" i="5" s="1"/>
  <c r="I4" i="5" s="1"/>
  <c r="J4" i="5" s="1"/>
  <c r="K4" i="5" s="1"/>
  <c r="X11" i="4"/>
  <c r="X8" i="4"/>
  <c r="X5" i="4"/>
  <c r="X6" i="4"/>
  <c r="X4" i="4"/>
  <c r="V11" i="4"/>
  <c r="V24" i="8" l="1"/>
  <c r="H5" i="1"/>
  <c r="H6" i="1" s="1"/>
  <c r="W12" i="8"/>
  <c r="X12" i="8" s="1"/>
  <c r="Y12" i="8" s="1"/>
  <c r="D75" i="1"/>
  <c r="E75" i="1"/>
  <c r="G73" i="1"/>
  <c r="Y20" i="8"/>
  <c r="J73" i="1"/>
  <c r="I73" i="1"/>
  <c r="H73" i="1"/>
  <c r="W24" i="8" l="1"/>
  <c r="E8" i="4"/>
  <c r="F5" i="4" s="1"/>
  <c r="F8" i="4"/>
  <c r="G5" i="4" s="1"/>
  <c r="D8" i="4"/>
  <c r="E5" i="4" s="1"/>
  <c r="D66" i="1"/>
  <c r="F66" i="1"/>
  <c r="E66" i="1"/>
  <c r="E4" i="4"/>
  <c r="F4" i="4" s="1"/>
  <c r="G4" i="4" s="1"/>
  <c r="H4" i="4" s="1"/>
  <c r="I4" i="4" s="1"/>
  <c r="J4" i="4" s="1"/>
  <c r="K4" i="4" s="1"/>
  <c r="G58" i="1"/>
  <c r="G16" i="3" s="1"/>
  <c r="E17" i="3"/>
  <c r="F17" i="3"/>
  <c r="E16" i="3"/>
  <c r="F16" i="3"/>
  <c r="E15" i="3"/>
  <c r="F15" i="3"/>
  <c r="D15" i="3"/>
  <c r="E10" i="3"/>
  <c r="D10" i="3"/>
  <c r="E9" i="3"/>
  <c r="E12" i="3" s="1"/>
  <c r="D9" i="3"/>
  <c r="E6" i="3"/>
  <c r="E5" i="3"/>
  <c r="F5" i="3"/>
  <c r="D5" i="3"/>
  <c r="E4" i="3"/>
  <c r="F4" i="3" s="1"/>
  <c r="G4" i="3" s="1"/>
  <c r="H4" i="3" s="1"/>
  <c r="I4" i="3" s="1"/>
  <c r="J4" i="3" s="1"/>
  <c r="K4" i="3" s="1"/>
  <c r="D85" i="1"/>
  <c r="E85" i="1"/>
  <c r="F85" i="1"/>
  <c r="F16" i="2" s="1"/>
  <c r="G16" i="9" l="1"/>
  <c r="H16" i="9" s="1"/>
  <c r="E19" i="3"/>
  <c r="F28" i="3"/>
  <c r="F23" i="9" s="1"/>
  <c r="E25" i="3"/>
  <c r="E20" i="9" s="1"/>
  <c r="D22" i="3"/>
  <c r="X24" i="8"/>
  <c r="Y24" i="8" s="1"/>
  <c r="W23" i="8"/>
  <c r="F18" i="3"/>
  <c r="F26" i="3"/>
  <c r="F21" i="9" s="1"/>
  <c r="G8" i="4"/>
  <c r="G11" i="4"/>
  <c r="G25" i="1" s="1"/>
  <c r="H58" i="1"/>
  <c r="E18" i="3"/>
  <c r="F25" i="3"/>
  <c r="F20" i="9" s="1"/>
  <c r="D18" i="3"/>
  <c r="E28" i="3"/>
  <c r="E23" i="9" s="1"/>
  <c r="E26" i="3"/>
  <c r="E21" i="9" s="1"/>
  <c r="G20" i="9" l="1"/>
  <c r="I58" i="1"/>
  <c r="H16" i="3"/>
  <c r="G21" i="9"/>
  <c r="H20" i="9"/>
  <c r="I20" i="9" s="1"/>
  <c r="J20" i="9" s="1"/>
  <c r="K20" i="9" s="1"/>
  <c r="G23" i="9"/>
  <c r="H23" i="9" s="1"/>
  <c r="G18" i="3"/>
  <c r="H18" i="3" s="1"/>
  <c r="X23" i="8"/>
  <c r="I5" i="1"/>
  <c r="I6" i="1" s="1"/>
  <c r="I16" i="9"/>
  <c r="J16" i="9" s="1"/>
  <c r="K16" i="9" s="1"/>
  <c r="H5" i="4"/>
  <c r="G64" i="1"/>
  <c r="G66" i="1" s="1"/>
  <c r="H21" i="9" l="1"/>
  <c r="I21" i="9" s="1"/>
  <c r="J21" i="9" s="1"/>
  <c r="K21" i="9" s="1"/>
  <c r="E86" i="1"/>
  <c r="E87" i="1" s="1"/>
  <c r="J58" i="1"/>
  <c r="I16" i="3"/>
  <c r="I23" i="9"/>
  <c r="J23" i="9" s="1"/>
  <c r="K23" i="9" s="1"/>
  <c r="Y23" i="8"/>
  <c r="K5" i="1" s="1"/>
  <c r="J5" i="1"/>
  <c r="J6" i="1" s="1"/>
  <c r="H8" i="4"/>
  <c r="H11" i="4"/>
  <c r="H25" i="1" s="1"/>
  <c r="I18" i="3"/>
  <c r="K58" i="1" l="1"/>
  <c r="K16" i="3" s="1"/>
  <c r="J16" i="3"/>
  <c r="K6" i="1"/>
  <c r="I5" i="4"/>
  <c r="H64" i="1"/>
  <c r="H66" i="1" s="1"/>
  <c r="J18" i="3"/>
  <c r="K18" i="3" s="1"/>
  <c r="I8" i="4" l="1"/>
  <c r="I11" i="4"/>
  <c r="I25" i="1" s="1"/>
  <c r="J5" i="4" l="1"/>
  <c r="I64" i="1"/>
  <c r="I66" i="1" s="1"/>
  <c r="E12" i="2"/>
  <c r="F9" i="2" s="1"/>
  <c r="F12" i="2"/>
  <c r="E6" i="2"/>
  <c r="F6" i="2"/>
  <c r="E5" i="2"/>
  <c r="F5" i="2"/>
  <c r="D5" i="2"/>
  <c r="E4" i="2"/>
  <c r="F4" i="2" s="1"/>
  <c r="G4" i="2" s="1"/>
  <c r="H4" i="2" s="1"/>
  <c r="I4" i="2" s="1"/>
  <c r="J4" i="2" s="1"/>
  <c r="K4" i="2" s="1"/>
  <c r="J8" i="4" l="1"/>
  <c r="J11" i="4"/>
  <c r="J25" i="1" s="1"/>
  <c r="F7" i="2"/>
  <c r="F10" i="2"/>
  <c r="E10" i="2"/>
  <c r="E7" i="2"/>
  <c r="K5" i="4" l="1"/>
  <c r="J64" i="1"/>
  <c r="J66" i="1" s="1"/>
  <c r="I7" i="2"/>
  <c r="J7" i="2" s="1"/>
  <c r="K7" i="2" s="1"/>
  <c r="K8" i="4" l="1"/>
  <c r="K64" i="1" s="1"/>
  <c r="K66" i="1" s="1"/>
  <c r="K11" i="4"/>
  <c r="K25" i="1" s="1"/>
  <c r="E21" i="1"/>
  <c r="D21" i="1"/>
  <c r="F20" i="1" l="1"/>
  <c r="E20" i="1"/>
  <c r="D20" i="1"/>
  <c r="F18" i="1"/>
  <c r="E18" i="1"/>
  <c r="D18" i="1"/>
  <c r="F16" i="1"/>
  <c r="E16" i="1"/>
  <c r="D16" i="1"/>
  <c r="F14" i="1"/>
  <c r="E14" i="1"/>
  <c r="D14" i="1"/>
  <c r="F12" i="1"/>
  <c r="E12" i="1"/>
  <c r="D12" i="1"/>
  <c r="E9" i="1"/>
  <c r="F9" i="1"/>
  <c r="D9" i="1"/>
  <c r="D28" i="1" l="1"/>
  <c r="D31" i="1" s="1"/>
  <c r="D84" i="1" s="1"/>
  <c r="F24" i="1"/>
  <c r="F22" i="1" s="1"/>
  <c r="G7" i="7"/>
  <c r="E24" i="1"/>
  <c r="E22" i="1" s="1"/>
  <c r="F7" i="7"/>
  <c r="G20" i="1"/>
  <c r="F8" i="1"/>
  <c r="E8" i="1"/>
  <c r="D8" i="1"/>
  <c r="F6" i="1"/>
  <c r="E28" i="1" l="1"/>
  <c r="E31" i="1" s="1"/>
  <c r="F28" i="1"/>
  <c r="F31" i="1" s="1"/>
  <c r="H14" i="1"/>
  <c r="G13" i="1"/>
  <c r="D22" i="1"/>
  <c r="H20" i="1"/>
  <c r="G19" i="1"/>
  <c r="H16" i="1"/>
  <c r="G15" i="1"/>
  <c r="H18" i="1"/>
  <c r="G17" i="1"/>
  <c r="I12" i="1"/>
  <c r="J12" i="1" s="1"/>
  <c r="K12" i="1" s="1"/>
  <c r="G11" i="1"/>
  <c r="H8" i="1"/>
  <c r="I8" i="1" s="1"/>
  <c r="G21" i="1" l="1"/>
  <c r="I16" i="1"/>
  <c r="H15" i="1"/>
  <c r="I14" i="1"/>
  <c r="H13" i="1"/>
  <c r="I18" i="1"/>
  <c r="H17" i="1"/>
  <c r="I20" i="1"/>
  <c r="H19" i="1"/>
  <c r="J8" i="1"/>
  <c r="J18" i="1" l="1"/>
  <c r="I17" i="1"/>
  <c r="J16" i="1"/>
  <c r="I15" i="1"/>
  <c r="J20" i="1"/>
  <c r="I19" i="1"/>
  <c r="J14" i="1"/>
  <c r="I13" i="1"/>
  <c r="K8" i="1"/>
  <c r="K20" i="1" l="1"/>
  <c r="K19" i="1" s="1"/>
  <c r="J19" i="1"/>
  <c r="K18" i="1"/>
  <c r="K17" i="1" s="1"/>
  <c r="J17" i="1"/>
  <c r="K14" i="1"/>
  <c r="K13" i="1" s="1"/>
  <c r="J13" i="1"/>
  <c r="K16" i="1"/>
  <c r="K15" i="1" s="1"/>
  <c r="J15" i="1"/>
  <c r="E6" i="1"/>
  <c r="G5" i="3" l="1"/>
  <c r="F4" i="7"/>
  <c r="G4" i="7" s="1"/>
  <c r="H4" i="7" s="1"/>
  <c r="I4" i="7" s="1"/>
  <c r="J4" i="7" s="1"/>
  <c r="K4" i="7" s="1"/>
  <c r="L4" i="7" s="1"/>
  <c r="D82" i="1"/>
  <c r="E82" i="1" s="1"/>
  <c r="F82" i="1" s="1"/>
  <c r="G82" i="1" s="1"/>
  <c r="H82" i="1" s="1"/>
  <c r="I82" i="1" s="1"/>
  <c r="J82" i="1" s="1"/>
  <c r="K82" i="1" s="1"/>
  <c r="D35" i="1"/>
  <c r="D54" i="1" s="1"/>
  <c r="E54" i="1" s="1"/>
  <c r="F54" i="1" s="1"/>
  <c r="G54" i="1" s="1"/>
  <c r="H54" i="1" s="1"/>
  <c r="I54" i="1" s="1"/>
  <c r="J54" i="1" s="1"/>
  <c r="K54" i="1" s="1"/>
  <c r="K100" i="1"/>
  <c r="J100" i="1"/>
  <c r="I100" i="1"/>
  <c r="E60" i="1"/>
  <c r="F60" i="1"/>
  <c r="D60" i="1"/>
  <c r="F50" i="1"/>
  <c r="E50" i="1"/>
  <c r="D50" i="1"/>
  <c r="E42" i="1"/>
  <c r="F42" i="1"/>
  <c r="D42" i="1"/>
  <c r="E84" i="1"/>
  <c r="F84" i="1"/>
  <c r="F87" i="1" s="1"/>
  <c r="E4" i="1"/>
  <c r="F4" i="1" s="1"/>
  <c r="G4" i="1" s="1"/>
  <c r="H4" i="1" s="1"/>
  <c r="I4" i="1" s="1"/>
  <c r="J4" i="1" s="1"/>
  <c r="K4" i="1" s="1"/>
  <c r="G17" i="3" l="1"/>
  <c r="G9" i="3"/>
  <c r="E35" i="1"/>
  <c r="F35" i="1" s="1"/>
  <c r="G35" i="1" s="1"/>
  <c r="H35" i="1" s="1"/>
  <c r="I35" i="1" s="1"/>
  <c r="J35" i="1" s="1"/>
  <c r="K35" i="1" s="1"/>
  <c r="F77" i="1"/>
  <c r="E77" i="1"/>
  <c r="D52" i="1"/>
  <c r="F52" i="1"/>
  <c r="G5" i="2"/>
  <c r="G6" i="2" s="1"/>
  <c r="G10" i="2" s="1"/>
  <c r="G7" i="1"/>
  <c r="G9" i="1" s="1"/>
  <c r="G24" i="1" s="1"/>
  <c r="H5" i="3"/>
  <c r="H17" i="3" s="1"/>
  <c r="F102" i="1"/>
  <c r="F105" i="1" s="1"/>
  <c r="D102" i="1"/>
  <c r="E102" i="1"/>
  <c r="E105" i="1" s="1"/>
  <c r="D77" i="1"/>
  <c r="E52" i="1"/>
  <c r="G39" i="1" l="1"/>
  <c r="G25" i="3"/>
  <c r="D79" i="1"/>
  <c r="F79" i="1"/>
  <c r="E79" i="1"/>
  <c r="H9" i="3"/>
  <c r="G6" i="3"/>
  <c r="G16" i="2"/>
  <c r="G14" i="2" s="1"/>
  <c r="G90" i="1"/>
  <c r="G8" i="6" s="1"/>
  <c r="I5" i="3"/>
  <c r="I17" i="3" s="1"/>
  <c r="H5" i="2"/>
  <c r="H6" i="2" s="1"/>
  <c r="H11" i="1"/>
  <c r="H21" i="1" s="1"/>
  <c r="H7" i="1"/>
  <c r="D105" i="1"/>
  <c r="G10" i="3" l="1"/>
  <c r="G15" i="3"/>
  <c r="G11" i="2"/>
  <c r="G12" i="3"/>
  <c r="G92" i="1"/>
  <c r="G19" i="4" s="1"/>
  <c r="H25" i="3"/>
  <c r="H39" i="1"/>
  <c r="I9" i="3"/>
  <c r="G28" i="3"/>
  <c r="G40" i="1"/>
  <c r="H9" i="1"/>
  <c r="I7" i="7" s="1"/>
  <c r="H6" i="3"/>
  <c r="H15" i="3" s="1"/>
  <c r="H7" i="7"/>
  <c r="H10" i="2"/>
  <c r="H90" i="1"/>
  <c r="H8" i="6" s="1"/>
  <c r="J5" i="3"/>
  <c r="J17" i="3" s="1"/>
  <c r="I5" i="2"/>
  <c r="I6" i="2" s="1"/>
  <c r="I11" i="1"/>
  <c r="I21" i="1" s="1"/>
  <c r="I7" i="1"/>
  <c r="E104" i="1"/>
  <c r="G23" i="1" l="1"/>
  <c r="G22" i="1" s="1"/>
  <c r="H92" i="1"/>
  <c r="H19" i="4" s="1"/>
  <c r="F104" i="1"/>
  <c r="G12" i="2"/>
  <c r="I25" i="3"/>
  <c r="I39" i="1"/>
  <c r="G26" i="3"/>
  <c r="I9" i="1"/>
  <c r="J7" i="7" s="1"/>
  <c r="I6" i="3"/>
  <c r="J9" i="3"/>
  <c r="J39" i="1" s="1"/>
  <c r="H10" i="3"/>
  <c r="M15" i="3" s="1"/>
  <c r="G56" i="1"/>
  <c r="H24" i="1"/>
  <c r="I10" i="2"/>
  <c r="I90" i="1"/>
  <c r="I8" i="6" s="1"/>
  <c r="K5" i="3"/>
  <c r="K17" i="3" s="1"/>
  <c r="J5" i="2"/>
  <c r="J6" i="2" s="1"/>
  <c r="J11" i="1"/>
  <c r="J21" i="1" s="1"/>
  <c r="J7" i="1"/>
  <c r="I92" i="1" l="1"/>
  <c r="I19" i="4" s="1"/>
  <c r="H12" i="3"/>
  <c r="H40" i="1"/>
  <c r="G45" i="1"/>
  <c r="G50" i="1" s="1"/>
  <c r="H9" i="2"/>
  <c r="G85" i="1"/>
  <c r="G7" i="6" s="1"/>
  <c r="G104" i="1"/>
  <c r="G17" i="4" s="1"/>
  <c r="I24" i="1"/>
  <c r="H26" i="3"/>
  <c r="H28" i="3"/>
  <c r="H56" i="1"/>
  <c r="K9" i="3"/>
  <c r="J25" i="3"/>
  <c r="I10" i="3"/>
  <c r="I26" i="3" s="1"/>
  <c r="I15" i="3"/>
  <c r="I28" i="3" s="1"/>
  <c r="J9" i="1"/>
  <c r="K7" i="7" s="1"/>
  <c r="J6" i="3"/>
  <c r="J10" i="2"/>
  <c r="J90" i="1"/>
  <c r="K5" i="2"/>
  <c r="K6" i="2" s="1"/>
  <c r="K11" i="1"/>
  <c r="K21" i="1" s="1"/>
  <c r="K7" i="1"/>
  <c r="J92" i="1" l="1"/>
  <c r="J19" i="4" s="1"/>
  <c r="J8" i="6"/>
  <c r="K25" i="3"/>
  <c r="K39" i="1"/>
  <c r="H16" i="2"/>
  <c r="H14" i="2" s="1"/>
  <c r="I12" i="3"/>
  <c r="I40" i="1"/>
  <c r="J15" i="3"/>
  <c r="J10" i="3"/>
  <c r="J40" i="1" s="1"/>
  <c r="K9" i="1"/>
  <c r="L7" i="7" s="1"/>
  <c r="K6" i="3"/>
  <c r="J24" i="1"/>
  <c r="I56" i="1"/>
  <c r="K10" i="2"/>
  <c r="K90" i="1"/>
  <c r="K92" i="1" l="1"/>
  <c r="K19" i="4" s="1"/>
  <c r="K8" i="6"/>
  <c r="K24" i="1"/>
  <c r="H23" i="1"/>
  <c r="H11" i="2"/>
  <c r="H12" i="2" s="1"/>
  <c r="J26" i="3"/>
  <c r="J12" i="3"/>
  <c r="K15" i="3"/>
  <c r="K28" i="3" s="1"/>
  <c r="K10" i="3"/>
  <c r="J28" i="3"/>
  <c r="J56" i="1"/>
  <c r="H45" i="1" l="1"/>
  <c r="H50" i="1" s="1"/>
  <c r="I9" i="2"/>
  <c r="I16" i="2" s="1"/>
  <c r="I14" i="2" s="1"/>
  <c r="K12" i="3"/>
  <c r="K40" i="1"/>
  <c r="H85" i="1"/>
  <c r="H7" i="6" s="1"/>
  <c r="H22" i="1"/>
  <c r="K26" i="3"/>
  <c r="K56" i="1"/>
  <c r="I23" i="1" l="1"/>
  <c r="I11" i="2"/>
  <c r="I12" i="2" s="1"/>
  <c r="I45" i="1" l="1"/>
  <c r="I50" i="1" s="1"/>
  <c r="J9" i="2"/>
  <c r="J16" i="2" s="1"/>
  <c r="I22" i="1"/>
  <c r="I85" i="1"/>
  <c r="I7" i="6" s="1"/>
  <c r="J14" i="2" l="1"/>
  <c r="J23" i="1" s="1"/>
  <c r="G59" i="1"/>
  <c r="H59" i="1"/>
  <c r="I59" i="1"/>
  <c r="J59" i="1"/>
  <c r="K59" i="1"/>
  <c r="K60" i="1" s="1"/>
  <c r="G19" i="3"/>
  <c r="H19" i="3"/>
  <c r="H22" i="3" s="1"/>
  <c r="I19" i="3"/>
  <c r="I22" i="3" s="1"/>
  <c r="J19" i="3"/>
  <c r="J22" i="3" s="1"/>
  <c r="K19" i="3"/>
  <c r="K22" i="3" s="1"/>
  <c r="G22" i="3" l="1"/>
  <c r="G23" i="3" s="1"/>
  <c r="J85" i="1"/>
  <c r="J7" i="6" s="1"/>
  <c r="J22" i="1"/>
  <c r="J11" i="2"/>
  <c r="J12" i="2" s="1"/>
  <c r="J45" i="1" s="1"/>
  <c r="J50" i="1" s="1"/>
  <c r="I23" i="3"/>
  <c r="I9" i="6" s="1"/>
  <c r="H23" i="3"/>
  <c r="K23" i="3"/>
  <c r="I86" i="1"/>
  <c r="J23" i="3"/>
  <c r="K86" i="1" l="1"/>
  <c r="K9" i="6"/>
  <c r="H86" i="1"/>
  <c r="H9" i="6"/>
  <c r="J86" i="1"/>
  <c r="J9" i="6"/>
  <c r="G86" i="1"/>
  <c r="G9" i="6"/>
  <c r="K9" i="2"/>
  <c r="K16" i="2" s="1"/>
  <c r="K14" i="2" s="1"/>
  <c r="K11" i="2" s="1"/>
  <c r="K12" i="2" s="1"/>
  <c r="K45" i="1" s="1"/>
  <c r="K50" i="1" s="1"/>
  <c r="K23" i="1" l="1"/>
  <c r="K22" i="1" s="1"/>
  <c r="F15" i="6" s="1"/>
  <c r="F19" i="6" s="1"/>
  <c r="K85" i="1" l="1"/>
  <c r="K7" i="6" s="1"/>
  <c r="H10" i="6" l="1"/>
  <c r="I10" i="6"/>
  <c r="J10" i="6"/>
  <c r="K10" i="6"/>
  <c r="K11" i="6" l="1"/>
  <c r="D15" i="6"/>
  <c r="D19" i="6" s="1"/>
  <c r="H11" i="6"/>
  <c r="I11" i="6"/>
  <c r="D18" i="6"/>
  <c r="F18" i="6" s="1"/>
  <c r="J11" i="6"/>
  <c r="D20" i="6" l="1"/>
  <c r="F20" i="6"/>
  <c r="F26" i="6" s="1"/>
  <c r="F30" i="6" s="1"/>
  <c r="F44" i="6" s="1"/>
  <c r="D26" i="6" l="1"/>
  <c r="D30" i="6" s="1"/>
  <c r="F36" i="6" s="1"/>
  <c r="G12" i="4" l="1"/>
  <c r="H12" i="4"/>
  <c r="I12" i="4"/>
  <c r="J12" i="4"/>
  <c r="K12" i="4"/>
  <c r="G14" i="4"/>
  <c r="H14" i="4"/>
  <c r="I14" i="4"/>
  <c r="J14" i="4"/>
  <c r="K14" i="4"/>
  <c r="H17" i="4"/>
  <c r="I17" i="4"/>
  <c r="J17" i="4"/>
  <c r="K17" i="4"/>
  <c r="G18" i="4"/>
  <c r="H18" i="4"/>
  <c r="I18" i="4"/>
  <c r="J18" i="4"/>
  <c r="K18" i="4"/>
  <c r="G25" i="4"/>
  <c r="H25" i="4"/>
  <c r="I25" i="4"/>
  <c r="J25" i="4"/>
  <c r="K25" i="4"/>
  <c r="H27" i="4"/>
  <c r="I27" i="4"/>
  <c r="J27" i="4"/>
  <c r="K27" i="4"/>
  <c r="G28" i="4"/>
  <c r="H28" i="4"/>
  <c r="I28" i="4"/>
  <c r="J28" i="4"/>
  <c r="K28" i="4"/>
  <c r="G29" i="4"/>
  <c r="H29" i="4"/>
  <c r="I29" i="4"/>
  <c r="J29" i="4"/>
  <c r="K29" i="4"/>
  <c r="H11" i="5"/>
  <c r="I11" i="5"/>
  <c r="J11" i="5"/>
  <c r="K11" i="5"/>
  <c r="G12" i="5"/>
  <c r="H12" i="5"/>
  <c r="I12" i="5"/>
  <c r="J12" i="5"/>
  <c r="K12" i="5"/>
  <c r="G14" i="5"/>
  <c r="H14" i="5"/>
  <c r="I14" i="5"/>
  <c r="J14" i="5"/>
  <c r="K14" i="5"/>
  <c r="G26" i="1"/>
  <c r="H26" i="1"/>
  <c r="I26" i="1"/>
  <c r="J26" i="1"/>
  <c r="K26" i="1"/>
  <c r="G28" i="1"/>
  <c r="H28" i="1"/>
  <c r="I28" i="1"/>
  <c r="J28" i="1"/>
  <c r="K28" i="1"/>
  <c r="G29" i="1"/>
  <c r="H29" i="1"/>
  <c r="I29" i="1"/>
  <c r="J29" i="1"/>
  <c r="K29" i="1"/>
  <c r="G31" i="1"/>
  <c r="H31" i="1"/>
  <c r="I31" i="1"/>
  <c r="J31" i="1"/>
  <c r="K31" i="1"/>
  <c r="G37" i="1"/>
  <c r="H37" i="1"/>
  <c r="I37" i="1"/>
  <c r="J37" i="1"/>
  <c r="K37" i="1"/>
  <c r="G42" i="1"/>
  <c r="H42" i="1"/>
  <c r="I42" i="1"/>
  <c r="J42" i="1"/>
  <c r="K42" i="1"/>
  <c r="G52" i="1"/>
  <c r="H52" i="1"/>
  <c r="I52" i="1"/>
  <c r="J52" i="1"/>
  <c r="K52" i="1"/>
  <c r="G57" i="1"/>
  <c r="H57" i="1"/>
  <c r="I57" i="1"/>
  <c r="J57" i="1"/>
  <c r="G60" i="1"/>
  <c r="H60" i="1"/>
  <c r="I60" i="1"/>
  <c r="J60" i="1"/>
  <c r="G74" i="1"/>
  <c r="H74" i="1"/>
  <c r="I74" i="1"/>
  <c r="J74" i="1"/>
  <c r="K74" i="1"/>
  <c r="G75" i="1"/>
  <c r="H75" i="1"/>
  <c r="I75" i="1"/>
  <c r="J75" i="1"/>
  <c r="K75" i="1"/>
  <c r="G77" i="1"/>
  <c r="H77" i="1"/>
  <c r="I77" i="1"/>
  <c r="J77" i="1"/>
  <c r="K77" i="1"/>
  <c r="G79" i="1"/>
  <c r="H79" i="1"/>
  <c r="I79" i="1"/>
  <c r="J79" i="1"/>
  <c r="K79" i="1"/>
  <c r="G84" i="1"/>
  <c r="H84" i="1"/>
  <c r="I84" i="1"/>
  <c r="J84" i="1"/>
  <c r="K84" i="1"/>
  <c r="G88" i="1"/>
  <c r="H88" i="1"/>
  <c r="I88" i="1"/>
  <c r="J88" i="1"/>
  <c r="K88" i="1"/>
  <c r="G102" i="1"/>
  <c r="H102" i="1"/>
  <c r="I102" i="1"/>
  <c r="J102" i="1"/>
  <c r="K102" i="1"/>
  <c r="H104" i="1"/>
  <c r="I104" i="1"/>
  <c r="J104" i="1"/>
  <c r="K104" i="1"/>
  <c r="G105" i="1"/>
  <c r="H105" i="1"/>
  <c r="I105" i="1"/>
  <c r="J105" i="1"/>
  <c r="K105" i="1"/>
  <c r="G106" i="1"/>
  <c r="H106" i="1"/>
  <c r="I106" i="1"/>
  <c r="J106" i="1"/>
  <c r="K106" i="1"/>
  <c r="G108" i="1"/>
  <c r="H108" i="1"/>
  <c r="I108" i="1"/>
  <c r="J108" i="1"/>
  <c r="K108" i="1"/>
  <c r="H10" i="7"/>
  <c r="I10" i="7"/>
  <c r="J10" i="7"/>
  <c r="K10" i="7"/>
  <c r="L10" i="7"/>
  <c r="H13" i="7"/>
  <c r="I13" i="7"/>
  <c r="J13" i="7"/>
  <c r="K13" i="7"/>
  <c r="L13" i="7"/>
  <c r="H14" i="7"/>
  <c r="I14" i="7"/>
  <c r="J14" i="7"/>
  <c r="K14" i="7"/>
  <c r="L14" i="7"/>
  <c r="H15" i="7"/>
  <c r="I15" i="7"/>
  <c r="J15" i="7"/>
  <c r="K15" i="7"/>
  <c r="L15" i="7"/>
  <c r="H18" i="7"/>
  <c r="I18" i="7"/>
  <c r="J18" i="7"/>
  <c r="K18" i="7"/>
  <c r="L18" i="7"/>
  <c r="H19" i="7"/>
  <c r="I19" i="7"/>
  <c r="J19" i="7"/>
  <c r="K19" i="7"/>
  <c r="L19" i="7"/>
  <c r="H20" i="7"/>
  <c r="I20" i="7"/>
  <c r="J20" i="7"/>
  <c r="K20" i="7"/>
  <c r="L20" i="7"/>
  <c r="H23" i="7"/>
  <c r="I23" i="7"/>
  <c r="J23" i="7"/>
  <c r="K23" i="7"/>
  <c r="L23" i="7"/>
  <c r="H24" i="7"/>
  <c r="I24" i="7"/>
  <c r="J24" i="7"/>
  <c r="K24" i="7"/>
  <c r="L24" i="7"/>
  <c r="H25" i="7"/>
  <c r="I25" i="7"/>
  <c r="J25" i="7"/>
  <c r="K25" i="7"/>
</calcChain>
</file>

<file path=xl/sharedStrings.xml><?xml version="1.0" encoding="utf-8"?>
<sst xmlns="http://schemas.openxmlformats.org/spreadsheetml/2006/main" count="376" uniqueCount="260">
  <si>
    <t>Income statement</t>
  </si>
  <si>
    <t>Revenue</t>
  </si>
  <si>
    <t>Cogs</t>
  </si>
  <si>
    <t>Gross Profit</t>
  </si>
  <si>
    <t>SG&amp;A</t>
  </si>
  <si>
    <t>EBITDA</t>
  </si>
  <si>
    <t>D&amp;A</t>
  </si>
  <si>
    <t>Interest</t>
  </si>
  <si>
    <t>Taxes</t>
  </si>
  <si>
    <t>PAT / Net Income / Net Profit</t>
  </si>
  <si>
    <t>Op Income (EBIT)</t>
  </si>
  <si>
    <t>Profit Before Tax (PBT)</t>
  </si>
  <si>
    <t>For the Year Ended (FYE)</t>
  </si>
  <si>
    <t>Balance Sheet</t>
  </si>
  <si>
    <t>x</t>
  </si>
  <si>
    <t>Assets</t>
  </si>
  <si>
    <t>Current Assets</t>
  </si>
  <si>
    <t>Cash and cash equivalents</t>
  </si>
  <si>
    <t>Account Receivable</t>
  </si>
  <si>
    <t>Inventory</t>
  </si>
  <si>
    <t>Other CA</t>
  </si>
  <si>
    <t>Total Current Assets</t>
  </si>
  <si>
    <t>Non-Current Assets</t>
  </si>
  <si>
    <t>Prperty Plant and Equipment</t>
  </si>
  <si>
    <t>Goodwill</t>
  </si>
  <si>
    <t>Total Assets</t>
  </si>
  <si>
    <t>As of</t>
  </si>
  <si>
    <t>Total Liabilities</t>
  </si>
  <si>
    <t>Current Liabilities</t>
  </si>
  <si>
    <t>Account Payable</t>
  </si>
  <si>
    <t>Total Current Liabilities</t>
  </si>
  <si>
    <t>Non-Current Liabilities</t>
  </si>
  <si>
    <t>Long term Debt</t>
  </si>
  <si>
    <t>Other LT Liabilities</t>
  </si>
  <si>
    <t>Total Non-Current Assets</t>
  </si>
  <si>
    <t>Total Non-Current Liabilities</t>
  </si>
  <si>
    <t>Balance Check</t>
  </si>
  <si>
    <t>Equity</t>
  </si>
  <si>
    <t>Retained Earnings</t>
  </si>
  <si>
    <t>Total Equity</t>
  </si>
  <si>
    <t>Total Liabilities &amp; Equity</t>
  </si>
  <si>
    <t>Cash Flow Statement</t>
  </si>
  <si>
    <t>Net Income</t>
  </si>
  <si>
    <t>Changes in Working Capital</t>
  </si>
  <si>
    <t>Depreciation &amp; Amortization</t>
  </si>
  <si>
    <t>Other Operating Cash Flows</t>
  </si>
  <si>
    <t>Cash Flow from Operations (CFO)</t>
  </si>
  <si>
    <t>Capital Expenditure</t>
  </si>
  <si>
    <t>Others</t>
  </si>
  <si>
    <t>Cash Flow from Investing (CFI)</t>
  </si>
  <si>
    <t>Equity Issuance</t>
  </si>
  <si>
    <t>Equity Repurchase</t>
  </si>
  <si>
    <t>Debt Issuance</t>
  </si>
  <si>
    <t>Debt Repayment</t>
  </si>
  <si>
    <t>Dividend Paid</t>
  </si>
  <si>
    <t>Cash Flow from Financing (CFF)</t>
  </si>
  <si>
    <t>Changes in Cash anc Cash Equivalents</t>
  </si>
  <si>
    <t>Opening Cash Balance</t>
  </si>
  <si>
    <t>Ending Cash Balance</t>
  </si>
  <si>
    <t>For the year ended (FYE)</t>
  </si>
  <si>
    <t>Check Balance</t>
  </si>
  <si>
    <t>Ratio Analysis</t>
  </si>
  <si>
    <t>Margin Ratios</t>
  </si>
  <si>
    <t>Profitability Ratios</t>
  </si>
  <si>
    <t>Gross Margin</t>
  </si>
  <si>
    <t>EBITDA margin</t>
  </si>
  <si>
    <t>EBIT Margin</t>
  </si>
  <si>
    <t>Net Income Margin</t>
  </si>
  <si>
    <t>RoAA</t>
  </si>
  <si>
    <t>RoAE</t>
  </si>
  <si>
    <t>RoCE</t>
  </si>
  <si>
    <t>Liquidity Ratios</t>
  </si>
  <si>
    <t>Current Ratio</t>
  </si>
  <si>
    <t>Quick Ratio</t>
  </si>
  <si>
    <t>Cash Ratio</t>
  </si>
  <si>
    <t>Leverage Ratios</t>
  </si>
  <si>
    <t>Debt / Equity</t>
  </si>
  <si>
    <t>Debt / Assets</t>
  </si>
  <si>
    <t>Debt / EBITDA</t>
  </si>
  <si>
    <t>Coverage Ratios</t>
  </si>
  <si>
    <t>Interest Coverage</t>
  </si>
  <si>
    <t>Conversion Ratios</t>
  </si>
  <si>
    <t>Approx FCFF</t>
  </si>
  <si>
    <t>Conversion Ratio Multiple</t>
  </si>
  <si>
    <t>EBITDA - Capex / EBITDA</t>
  </si>
  <si>
    <t xml:space="preserve">EBITDA - Capex </t>
  </si>
  <si>
    <t>Comments</t>
  </si>
  <si>
    <t>Turnover Ratios</t>
  </si>
  <si>
    <t>Receivable Turnover</t>
  </si>
  <si>
    <t>Payable Turnover</t>
  </si>
  <si>
    <t>Inventory Turnover</t>
  </si>
  <si>
    <t>Days</t>
  </si>
  <si>
    <t>DSO</t>
  </si>
  <si>
    <t>DIH</t>
  </si>
  <si>
    <t>DPO</t>
  </si>
  <si>
    <t>Cash Conversion Cycle</t>
  </si>
  <si>
    <t>Per Share Data</t>
  </si>
  <si>
    <t>Basic EPS</t>
  </si>
  <si>
    <t>Fulfillment</t>
  </si>
  <si>
    <t xml:space="preserve">  % of sales</t>
  </si>
  <si>
    <t>Technology and infrastructure</t>
  </si>
  <si>
    <t xml:space="preserve">  Marketing and sales exp</t>
  </si>
  <si>
    <t xml:space="preserve">  General and administrative exp</t>
  </si>
  <si>
    <t>Other operating expense (income), net</t>
  </si>
  <si>
    <t>Total Operating Exp</t>
  </si>
  <si>
    <t>growth (%)</t>
  </si>
  <si>
    <t>Interest expense</t>
  </si>
  <si>
    <t>Interest income</t>
  </si>
  <si>
    <t>Other income (expense), net</t>
  </si>
  <si>
    <t>Equity-method investment activity, net of tax</t>
  </si>
  <si>
    <t>PP&amp;E - Opening</t>
  </si>
  <si>
    <t>Capital Exp</t>
  </si>
  <si>
    <t>Depreciation</t>
  </si>
  <si>
    <t>PP&amp;E - Closing</t>
  </si>
  <si>
    <t>Amortization</t>
  </si>
  <si>
    <t>Marketable Securities</t>
  </si>
  <si>
    <t>Operating leases</t>
  </si>
  <si>
    <t>+</t>
  </si>
  <si>
    <t>-</t>
  </si>
  <si>
    <t>% of Sales</t>
  </si>
  <si>
    <t>Working Cap</t>
  </si>
  <si>
    <t>Cost of Revenue</t>
  </si>
  <si>
    <t>Non Cash Current Assets</t>
  </si>
  <si>
    <t>Prepaid Exp</t>
  </si>
  <si>
    <t>Total</t>
  </si>
  <si>
    <t>Non Debt Current Liabilites</t>
  </si>
  <si>
    <t>Net Working Cap</t>
  </si>
  <si>
    <t>Changes in working cap</t>
  </si>
  <si>
    <t>Accrued expenses and other</t>
  </si>
  <si>
    <t>Unearned revenue</t>
  </si>
  <si>
    <t xml:space="preserve">No of Days </t>
  </si>
  <si>
    <t>% of sales</t>
  </si>
  <si>
    <t>Debt Schedule</t>
  </si>
  <si>
    <t>LT Debt - opening</t>
  </si>
  <si>
    <t>Issuance</t>
  </si>
  <si>
    <t>Repayment</t>
  </si>
  <si>
    <t>LT Debt - closing</t>
  </si>
  <si>
    <t>Interest Exp</t>
  </si>
  <si>
    <t>Interest Income</t>
  </si>
  <si>
    <t>Net Interest (Exp) / Income</t>
  </si>
  <si>
    <t>Total Cash Flow After Mandatory Payments</t>
  </si>
  <si>
    <t>Cash and Cash Equivalent - opening</t>
  </si>
  <si>
    <t>Equity Issuance / Equity Raise</t>
  </si>
  <si>
    <t>Total Cash after mandatory Payments</t>
  </si>
  <si>
    <t>Short Term Debt - opening</t>
  </si>
  <si>
    <t>Issuance / (repayment)</t>
  </si>
  <si>
    <t>Short Term Debt - closing</t>
  </si>
  <si>
    <t>Long-term lease liabilities</t>
  </si>
  <si>
    <t>2014 Notes issuance of $6.0 billion</t>
  </si>
  <si>
    <t>Maturity</t>
  </si>
  <si>
    <t>Stated Interest Rate</t>
  </si>
  <si>
    <t>December 31, 2023</t>
  </si>
  <si>
    <t>2017 Notes issuance of $17.0 billion</t>
  </si>
  <si>
    <t>Equity Schedule</t>
  </si>
  <si>
    <t>Equity Cap - Opening</t>
  </si>
  <si>
    <t>Repurchase</t>
  </si>
  <si>
    <t>Equity Cap - Closing</t>
  </si>
  <si>
    <t>Retained Earning opening</t>
  </si>
  <si>
    <t>Net income</t>
  </si>
  <si>
    <t>Dividend</t>
  </si>
  <si>
    <t>Retained Earning closing</t>
  </si>
  <si>
    <t xml:space="preserve">Dividend per share </t>
  </si>
  <si>
    <t>share outstatnding</t>
  </si>
  <si>
    <t>Additional paid-in capital</t>
  </si>
  <si>
    <t>Accumulated other comprehensive income (loss)</t>
  </si>
  <si>
    <t>Total Equity Capital</t>
  </si>
  <si>
    <t xml:space="preserve">      Treasury stock, at cost</t>
  </si>
  <si>
    <t xml:space="preserve">      Common stock</t>
  </si>
  <si>
    <t>Tax Rate</t>
  </si>
  <si>
    <t>Revenue Model</t>
  </si>
  <si>
    <t>Q1 2021</t>
  </si>
  <si>
    <t>Q2 2021</t>
  </si>
  <si>
    <t>Q3 2021</t>
  </si>
  <si>
    <t>Q4 2021</t>
  </si>
  <si>
    <t>FY 2021A</t>
  </si>
  <si>
    <t>Q1 2022</t>
  </si>
  <si>
    <t>Q2 2022</t>
  </si>
  <si>
    <t>Q3 2022</t>
  </si>
  <si>
    <t>Q4 2022</t>
  </si>
  <si>
    <t>FY 2022A</t>
  </si>
  <si>
    <t>Q1 2023</t>
  </si>
  <si>
    <t>Q2 2023</t>
  </si>
  <si>
    <t>Q3 2023</t>
  </si>
  <si>
    <t>Q4 2023</t>
  </si>
  <si>
    <t>FY 2023A</t>
  </si>
  <si>
    <t>Segements</t>
  </si>
  <si>
    <t>Online stores</t>
  </si>
  <si>
    <t>YOY%</t>
  </si>
  <si>
    <t>physical stores</t>
  </si>
  <si>
    <t>Third party stores</t>
  </si>
  <si>
    <t>advertisement stores</t>
  </si>
  <si>
    <t>Subscription stores</t>
  </si>
  <si>
    <t>AWS</t>
  </si>
  <si>
    <t>FY2024E</t>
  </si>
  <si>
    <t>FY2025E</t>
  </si>
  <si>
    <t xml:space="preserve">Total revenue </t>
  </si>
  <si>
    <t>N/A</t>
  </si>
  <si>
    <t>2020 Notes issuance of $10.0 billion</t>
  </si>
  <si>
    <t xml:space="preserve">2021 Notes issuance of $18.5 billion
</t>
  </si>
  <si>
    <t>April 2022 Notes issuance of $12.8 billion</t>
  </si>
  <si>
    <t>December 2022 Notes issuance of $8.3 billion</t>
  </si>
  <si>
    <t>Short term debt</t>
  </si>
  <si>
    <t>Assumption</t>
  </si>
  <si>
    <t>% of PP&amp;E</t>
  </si>
  <si>
    <t>Other Assets</t>
  </si>
  <si>
    <t>Additions</t>
  </si>
  <si>
    <t>Intangible Assets - Opening Balance</t>
  </si>
  <si>
    <t>Intangible Assets - Closing  Balance</t>
  </si>
  <si>
    <t>Intangible Assets</t>
  </si>
  <si>
    <t>Working Capital</t>
  </si>
  <si>
    <t>Debt and interest schedule</t>
  </si>
  <si>
    <t xml:space="preserve">Equity schedule </t>
  </si>
  <si>
    <t>Base Case</t>
  </si>
  <si>
    <t xml:space="preserve">Worst Case </t>
  </si>
  <si>
    <t>Best Case</t>
  </si>
  <si>
    <t>Physical stores</t>
  </si>
  <si>
    <t>Advertisement stores</t>
  </si>
  <si>
    <t>Base case</t>
  </si>
  <si>
    <t xml:space="preserve">Best case </t>
  </si>
  <si>
    <t xml:space="preserve">Worst case </t>
  </si>
  <si>
    <t>Free cash flow to firm(FCFF)</t>
  </si>
  <si>
    <t>EBIT*(1+Tax)</t>
  </si>
  <si>
    <t>Capex</t>
  </si>
  <si>
    <t>Changes in working capital</t>
  </si>
  <si>
    <t xml:space="preserve">WAAC </t>
  </si>
  <si>
    <t xml:space="preserve">Equity </t>
  </si>
  <si>
    <t xml:space="preserve">Debt </t>
  </si>
  <si>
    <t>Weight of Equity</t>
  </si>
  <si>
    <t>Weight of debt</t>
  </si>
  <si>
    <t>Cost of equity</t>
  </si>
  <si>
    <t>Cost of debt</t>
  </si>
  <si>
    <t>risk free retutrn</t>
  </si>
  <si>
    <t xml:space="preserve">beta </t>
  </si>
  <si>
    <t>market risk premium</t>
  </si>
  <si>
    <t xml:space="preserve">Interest on expense </t>
  </si>
  <si>
    <t>Interest on Income</t>
  </si>
  <si>
    <t>Tax rate</t>
  </si>
  <si>
    <t xml:space="preserve">2029 onwards  </t>
  </si>
  <si>
    <t>Present value of cash flow</t>
  </si>
  <si>
    <t>Present value of Terminal value</t>
  </si>
  <si>
    <t xml:space="preserve">EV </t>
  </si>
  <si>
    <t>Debt</t>
  </si>
  <si>
    <t>minority</t>
  </si>
  <si>
    <t>leases</t>
  </si>
  <si>
    <t>prefered</t>
  </si>
  <si>
    <t>cash</t>
  </si>
  <si>
    <t>Equity value</t>
  </si>
  <si>
    <t>Share outstanding</t>
  </si>
  <si>
    <t xml:space="preserve">Intrinsc price per share </t>
  </si>
  <si>
    <t>Terminal value 2028</t>
  </si>
  <si>
    <t xml:space="preserve">Growth rate </t>
  </si>
  <si>
    <t>EMM</t>
  </si>
  <si>
    <t>PGM</t>
  </si>
  <si>
    <t>Exit multiple 2028</t>
  </si>
  <si>
    <t>WACC</t>
  </si>
  <si>
    <t>Exit Multiple</t>
  </si>
  <si>
    <t>52 weeks H/L</t>
  </si>
  <si>
    <t>difference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</si>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</sst>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FY&quot;\ 0&quot;E&quot;"/>
    <numFmt numFmtId="165" formatCode="&quot;FY&quot;\ 0&quot;A&quot;"/>
    <numFmt numFmtId="166" formatCode="0_);\(0\)"/>
    <numFmt numFmtId="167" formatCode="0.0%"/>
    <numFmt numFmtId="168" formatCode="&quot;FY &quot;0&quot;A&quot;"/>
    <numFmt numFmtId="169" formatCode="&quot;FY &quot;0&quot;E&quot;"/>
    <numFmt numFmtId="170" formatCode="0.0"/>
    <numFmt numFmtId="171" formatCode="0.0000%"/>
    <numFmt numFmtId="172" formatCode="0.0000000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FF"/>
      <name val="Calibri"/>
      <family val="2"/>
    </font>
    <font>
      <sz val="11"/>
      <color rgb="FF3333FF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left" indent="1"/>
    </xf>
    <xf numFmtId="0" fontId="1" fillId="0" borderId="0" xfId="0" applyFont="1" applyAlignment="1">
      <alignment horizontal="left" indent="1"/>
    </xf>
    <xf numFmtId="0" fontId="1" fillId="2" borderId="0" xfId="0" applyFont="1" applyFill="1"/>
    <xf numFmtId="0" fontId="0" fillId="0" borderId="1" xfId="0" applyBorder="1"/>
    <xf numFmtId="0" fontId="2" fillId="3" borderId="0" xfId="0" applyFont="1" applyFill="1"/>
    <xf numFmtId="0" fontId="0" fillId="0" borderId="0" xfId="0" quotePrefix="1"/>
    <xf numFmtId="0" fontId="0" fillId="0" borderId="2" xfId="0" applyBorder="1"/>
    <xf numFmtId="0" fontId="2" fillId="0" borderId="0" xfId="0" applyFont="1" applyAlignment="1">
      <alignment horizontal="left" indent="1"/>
    </xf>
    <xf numFmtId="165" fontId="4" fillId="0" borderId="0" xfId="0" applyNumberFormat="1" applyFont="1"/>
    <xf numFmtId="165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0" fontId="0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NumberFormat="1" applyFont="1"/>
    <xf numFmtId="166" fontId="5" fillId="0" borderId="0" xfId="1" applyNumberFormat="1" applyFont="1"/>
    <xf numFmtId="9" fontId="5" fillId="0" borderId="0" xfId="2" applyFont="1"/>
    <xf numFmtId="9" fontId="0" fillId="0" borderId="0" xfId="0" applyNumberFormat="1"/>
    <xf numFmtId="167" fontId="0" fillId="0" borderId="0" xfId="2" applyNumberFormat="1" applyFont="1"/>
    <xf numFmtId="9" fontId="6" fillId="0" borderId="0" xfId="2" applyFont="1"/>
    <xf numFmtId="9" fontId="6" fillId="0" borderId="0" xfId="2" applyNumberFormat="1" applyFont="1"/>
    <xf numFmtId="37" fontId="5" fillId="0" borderId="0" xfId="0" applyNumberFormat="1" applyFont="1"/>
    <xf numFmtId="166" fontId="0" fillId="0" borderId="0" xfId="0" applyNumberFormat="1"/>
    <xf numFmtId="0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67" fontId="0" fillId="0" borderId="0" xfId="0" applyNumberFormat="1"/>
    <xf numFmtId="3" fontId="0" fillId="0" borderId="0" xfId="0" applyNumberFormat="1"/>
    <xf numFmtId="3" fontId="5" fillId="0" borderId="0" xfId="0" applyNumberFormat="1" applyFont="1"/>
    <xf numFmtId="37" fontId="0" fillId="0" borderId="0" xfId="0" applyNumberFormat="1"/>
    <xf numFmtId="168" fontId="4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7" fillId="0" borderId="0" xfId="0" applyFont="1" applyFill="1" applyBorder="1"/>
    <xf numFmtId="0" fontId="8" fillId="4" borderId="0" xfId="0" applyFont="1" applyFill="1" applyBorder="1"/>
    <xf numFmtId="168" fontId="10" fillId="0" borderId="0" xfId="0" applyNumberFormat="1" applyFont="1" applyFill="1" applyBorder="1"/>
    <xf numFmtId="168" fontId="8" fillId="0" borderId="0" xfId="0" applyNumberFormat="1" applyFont="1" applyFill="1" applyBorder="1"/>
    <xf numFmtId="169" fontId="8" fillId="0" borderId="0" xfId="0" applyNumberFormat="1" applyFont="1" applyFill="1" applyBorder="1"/>
    <xf numFmtId="0" fontId="8" fillId="0" borderId="0" xfId="0" applyFont="1" applyFill="1" applyBorder="1"/>
    <xf numFmtId="9" fontId="0" fillId="0" borderId="0" xfId="2" applyFont="1"/>
    <xf numFmtId="170" fontId="0" fillId="0" borderId="0" xfId="0" applyNumberFormat="1"/>
    <xf numFmtId="1" fontId="0" fillId="0" borderId="2" xfId="0" applyNumberFormat="1" applyBorder="1"/>
    <xf numFmtId="0" fontId="0" fillId="0" borderId="0" xfId="0" applyBorder="1"/>
    <xf numFmtId="0" fontId="0" fillId="5" borderId="0" xfId="0" applyFill="1"/>
    <xf numFmtId="10" fontId="0" fillId="0" borderId="0" xfId="0" applyNumberFormat="1"/>
    <xf numFmtId="0" fontId="0" fillId="0" borderId="0" xfId="0" applyAlignment="1">
      <alignment horizontal="left" indent="2"/>
    </xf>
    <xf numFmtId="3" fontId="1" fillId="0" borderId="0" xfId="0" applyNumberFormat="1" applyFont="1"/>
    <xf numFmtId="166" fontId="1" fillId="0" borderId="0" xfId="0" applyNumberFormat="1" applyFont="1"/>
    <xf numFmtId="37" fontId="0" fillId="0" borderId="0" xfId="0" applyNumberFormat="1" applyFont="1"/>
    <xf numFmtId="1" fontId="0" fillId="0" borderId="1" xfId="0" applyNumberFormat="1" applyBorder="1"/>
    <xf numFmtId="0" fontId="0" fillId="6" borderId="0" xfId="0" applyFill="1"/>
    <xf numFmtId="0" fontId="0" fillId="6" borderId="0" xfId="0" applyFill="1" applyBorder="1"/>
    <xf numFmtId="3" fontId="11" fillId="0" borderId="0" xfId="0" applyNumberFormat="1" applyFont="1"/>
    <xf numFmtId="0" fontId="11" fillId="0" borderId="0" xfId="0" applyFont="1"/>
    <xf numFmtId="10" fontId="1" fillId="0" borderId="0" xfId="0" applyNumberFormat="1" applyFont="1"/>
    <xf numFmtId="3" fontId="11" fillId="0" borderId="0" xfId="0" applyNumberFormat="1" applyFont="1" applyBorder="1"/>
    <xf numFmtId="0" fontId="11" fillId="0" borderId="0" xfId="0" applyFont="1" applyBorder="1"/>
    <xf numFmtId="10" fontId="11" fillId="0" borderId="0" xfId="0" applyNumberFormat="1" applyFont="1"/>
    <xf numFmtId="10" fontId="1" fillId="7" borderId="0" xfId="0" applyNumberFormat="1" applyFont="1" applyFill="1"/>
    <xf numFmtId="0" fontId="0" fillId="7" borderId="0" xfId="0" applyFill="1" applyBorder="1"/>
    <xf numFmtId="0" fontId="0" fillId="7" borderId="0" xfId="0" applyFill="1"/>
    <xf numFmtId="10" fontId="5" fillId="0" borderId="0" xfId="0" applyNumberFormat="1" applyFont="1"/>
    <xf numFmtId="3" fontId="0" fillId="0" borderId="0" xfId="0" applyNumberFormat="1" applyAlignment="1">
      <alignment wrapText="1"/>
    </xf>
    <xf numFmtId="1" fontId="2" fillId="0" borderId="0" xfId="0" applyNumberFormat="1" applyFont="1"/>
    <xf numFmtId="166" fontId="5" fillId="0" borderId="0" xfId="0" applyNumberFormat="1" applyFont="1"/>
    <xf numFmtId="3" fontId="5" fillId="0" borderId="2" xfId="0" applyNumberFormat="1" applyFont="1" applyBorder="1"/>
    <xf numFmtId="2" fontId="5" fillId="0" borderId="0" xfId="0" applyNumberFormat="1" applyFont="1"/>
    <xf numFmtId="9" fontId="5" fillId="0" borderId="0" xfId="0" applyNumberFormat="1" applyFont="1"/>
    <xf numFmtId="3" fontId="0" fillId="0" borderId="0" xfId="0" applyNumberFormat="1" applyFont="1"/>
    <xf numFmtId="0" fontId="0" fillId="8" borderId="0" xfId="0" applyFill="1"/>
    <xf numFmtId="2" fontId="5" fillId="0" borderId="3" xfId="0" applyNumberFormat="1" applyFont="1" applyBorder="1"/>
    <xf numFmtId="1" fontId="0" fillId="0" borderId="3" xfId="0" applyNumberFormat="1" applyBorder="1"/>
    <xf numFmtId="1" fontId="5" fillId="0" borderId="0" xfId="0" applyNumberFormat="1" applyFont="1"/>
    <xf numFmtId="0" fontId="0" fillId="0" borderId="0" xfId="0" applyFill="1"/>
    <xf numFmtId="9" fontId="1" fillId="9" borderId="0" xfId="2" applyFont="1" applyFill="1"/>
    <xf numFmtId="0" fontId="0" fillId="10" borderId="0" xfId="0" applyFill="1"/>
    <xf numFmtId="3" fontId="0" fillId="10" borderId="0" xfId="0" applyNumberFormat="1" applyFill="1"/>
    <xf numFmtId="3" fontId="5" fillId="10" borderId="0" xfId="0" applyNumberFormat="1" applyFont="1" applyFill="1"/>
    <xf numFmtId="167" fontId="5" fillId="0" borderId="0" xfId="2" applyNumberFormat="1" applyFont="1"/>
    <xf numFmtId="9" fontId="1" fillId="0" borderId="0" xfId="2" applyFont="1"/>
    <xf numFmtId="10" fontId="0" fillId="8" borderId="0" xfId="0" applyNumberFormat="1" applyFont="1" applyFill="1"/>
    <xf numFmtId="3" fontId="0" fillId="0" borderId="0" xfId="0" applyNumberFormat="1" applyFont="1" applyFill="1"/>
    <xf numFmtId="9" fontId="12" fillId="0" borderId="0" xfId="0" applyNumberFormat="1" applyFont="1"/>
    <xf numFmtId="0" fontId="0" fillId="11" borderId="0" xfId="0" applyFill="1"/>
    <xf numFmtId="0" fontId="0" fillId="11" borderId="0" xfId="0" applyFont="1" applyFill="1"/>
    <xf numFmtId="0" fontId="13" fillId="0" borderId="0" xfId="0" applyFont="1"/>
    <xf numFmtId="169" fontId="4" fillId="0" borderId="0" xfId="0" applyNumberFormat="1" applyFont="1"/>
    <xf numFmtId="169" fontId="0" fillId="0" borderId="0" xfId="0" applyNumberFormat="1"/>
    <xf numFmtId="171" fontId="0" fillId="0" borderId="0" xfId="0" applyNumberFormat="1"/>
    <xf numFmtId="167" fontId="5" fillId="0" borderId="0" xfId="0" applyNumberFormat="1" applyFont="1"/>
    <xf numFmtId="8" fontId="0" fillId="0" borderId="0" xfId="0" applyNumberFormat="1"/>
    <xf numFmtId="8" fontId="1" fillId="0" borderId="0" xfId="0" applyNumberFormat="1" applyFont="1"/>
    <xf numFmtId="10" fontId="6" fillId="0" borderId="0" xfId="2" applyNumberFormat="1" applyFont="1"/>
    <xf numFmtId="172" fontId="0" fillId="0" borderId="0" xfId="0" applyNumberFormat="1"/>
    <xf numFmtId="6" fontId="0" fillId="0" borderId="0" xfId="0" applyNumberFormat="1"/>
    <xf numFmtId="6" fontId="1" fillId="0" borderId="0" xfId="0" applyNumberFormat="1" applyFont="1"/>
    <xf numFmtId="1" fontId="0" fillId="12" borderId="0" xfId="0" applyNumberFormat="1" applyFill="1"/>
    <xf numFmtId="2" fontId="0" fillId="0" borderId="0" xfId="0" applyNumberFormat="1"/>
    <xf numFmtId="0" fontId="3" fillId="2" borderId="0" xfId="0" applyFont="1" applyFill="1" applyAlignment="1">
      <alignment horizontal="center"/>
    </xf>
    <xf numFmtId="0" fontId="9" fillId="4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Football Field Analysis</a:t>
            </a:r>
            <a:r>
              <a:rPr lang="en-US" baseline="0"/>
              <a:t>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28466260710066E-2"/>
          <c:y val="0.17171296296296296"/>
          <c:w val="0.77694268410572487"/>
          <c:h val="0.6890583989501313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DCF!$G$51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DCF!$F$52:$F$54</c:f>
              <c:strCache>
                <c:ptCount val="3"/>
                <c:pt idx="0">
                  <c:v>PGM</c:v>
                </c:pt>
                <c:pt idx="1">
                  <c:v>EMM</c:v>
                </c:pt>
                <c:pt idx="2">
                  <c:v>52 weeks H/L</c:v>
                </c:pt>
              </c:strCache>
            </c:strRef>
          </c:cat>
          <c:val>
            <c:numRef>
              <c:f>DCF!$G$52:$G$54</c:f>
              <c:numCache>
                <c:formatCode>0</c:formatCode>
                <c:ptCount val="3"/>
                <c:pt idx="0">
                  <c:v>6.0854042204319629</c:v>
                </c:pt>
                <c:pt idx="1">
                  <c:v>76.30915356796659</c:v>
                </c:pt>
                <c:pt idx="2" formatCode="General">
                  <c:v>81.430000000000007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2-4EFA-BD4D-FF17047565BC}"/>
            </c:ext>
          </c:extLst>
        </c:ser>
        <c:ser>
          <c:idx val="1"/>
          <c:order val="1"/>
          <c:tx>
            <c:strRef>
              <c:f>DCF!$H$51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DCF!$F$52:$F$54</c:f>
              <c:strCache>
                <c:ptCount val="3"/>
                <c:pt idx="0">
                  <c:v>PGM</c:v>
                </c:pt>
                <c:pt idx="1">
                  <c:v>EMM</c:v>
                </c:pt>
                <c:pt idx="2">
                  <c:v>52 weeks H/L</c:v>
                </c:pt>
              </c:strCache>
            </c:strRef>
          </c:cat>
          <c:val>
            <c:numRef>
              <c:f>DCF!$H$52:$H$54</c:f>
              <c:numCache>
                <c:formatCode>0.0</c:formatCode>
                <c:ptCount val="3"/>
                <c:pt idx="0">
                  <c:v>99.493701796897867</c:v>
                </c:pt>
                <c:pt idx="1">
                  <c:v>33.415563594482933</c:v>
                </c:pt>
                <c:pt idx="2" formatCode="General">
                  <c:v>151.57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C2-4EFA-BD4D-FF17047565BC}"/>
            </c:ext>
          </c:extLst>
        </c:ser>
        <c:ser>
          <c:idx val="2"/>
          <c:order val="2"/>
          <c:tx>
            <c:strRef>
              <c:f>DCF!$I$51</c:f>
              <c:strCache>
                <c:ptCount val="1"/>
                <c:pt idx="0">
                  <c:v>Max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DCF!$F$52:$F$54</c:f>
              <c:strCache>
                <c:ptCount val="3"/>
                <c:pt idx="0">
                  <c:v>PGM</c:v>
                </c:pt>
                <c:pt idx="1">
                  <c:v>EMM</c:v>
                </c:pt>
                <c:pt idx="2">
                  <c:v>52 weeks H/L</c:v>
                </c:pt>
              </c:strCache>
            </c:strRef>
          </c:cat>
          <c:val>
            <c:numRef>
              <c:f>DCF!$I$52:$I$54</c:f>
              <c:numCache>
                <c:formatCode>0</c:formatCode>
                <c:ptCount val="3"/>
                <c:pt idx="0">
                  <c:v>105.57910601732983</c:v>
                </c:pt>
                <c:pt idx="1">
                  <c:v>109.72471716244952</c:v>
                </c:pt>
                <c:pt idx="2" formatCode="General">
                  <c:v>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C2-4EFA-BD4D-FF1704756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4913167"/>
        <c:axId val="194915663"/>
      </c:barChart>
      <c:catAx>
        <c:axId val="194913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5663"/>
        <c:crosses val="autoZero"/>
        <c:auto val="1"/>
        <c:lblAlgn val="ctr"/>
        <c:lblOffset val="100"/>
        <c:noMultiLvlLbl val="0"/>
      </c:catAx>
      <c:valAx>
        <c:axId val="194915663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13167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5989347081877095"/>
          <c:y val="0.93000388840283854"/>
          <c:w val="0.57178353755098554"/>
          <c:h val="6.5912440475141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 rot="5400000" vert="horz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20" fmlaLink="E5" fmlaRange="$C$6:$C$8" noThreeD="1" sel="1" val="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586740</xdr:colOff>
          <xdr:row>3</xdr:row>
          <xdr:rowOff>175260</xdr:rowOff>
        </xdr:from>
        <xdr:to>
          <xdr:col>5</xdr:col>
          <xdr:colOff>30480</xdr:colOff>
          <xdr:row>5</xdr:row>
          <xdr:rowOff>15240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1600200</xdr:colOff>
      <xdr:row>59</xdr:row>
      <xdr:rowOff>106680</xdr:rowOff>
    </xdr:from>
    <xdr:to>
      <xdr:col>11</xdr:col>
      <xdr:colOff>381000</xdr:colOff>
      <xdr:row>76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39"/>
  <sheetViews>
    <sheetView topLeftCell="A16" workbookViewId="0">
      <selection activeCell="E39" sqref="E39"/>
    </sheetView>
  </sheetViews>
  <sheetFormatPr defaultRowHeight="14.4" x14ac:dyDescent="0.3"/>
  <cols>
    <col min="2" max="2" width="4.21875" customWidth="1"/>
    <col min="3" max="3" width="16.44140625" bestFit="1" customWidth="1"/>
    <col min="5" max="5" width="13.44140625" bestFit="1" customWidth="1"/>
  </cols>
  <sheetData>
    <row r="5" spans="2:11" x14ac:dyDescent="0.3">
      <c r="B5" t="s">
        <v>14</v>
      </c>
      <c r="C5" s="7" t="s">
        <v>202</v>
      </c>
      <c r="D5" s="105" t="s">
        <v>12</v>
      </c>
      <c r="E5" s="105"/>
      <c r="F5" s="105"/>
      <c r="G5" s="105"/>
      <c r="H5" s="105"/>
      <c r="I5" s="105"/>
      <c r="J5" s="105"/>
      <c r="K5" s="105"/>
    </row>
    <row r="6" spans="2:11" x14ac:dyDescent="0.3">
      <c r="D6" s="13">
        <v>2021</v>
      </c>
      <c r="E6" s="3">
        <f>D6+1</f>
        <v>2022</v>
      </c>
      <c r="F6" s="3">
        <f>E6+1</f>
        <v>2023</v>
      </c>
      <c r="G6" s="2">
        <f>F6+1</f>
        <v>2024</v>
      </c>
      <c r="H6" s="2">
        <f t="shared" ref="H6:K6" si="0">G6+1</f>
        <v>2025</v>
      </c>
      <c r="I6" s="2">
        <f t="shared" si="0"/>
        <v>2026</v>
      </c>
      <c r="J6" s="2">
        <f t="shared" si="0"/>
        <v>2027</v>
      </c>
      <c r="K6" s="2">
        <f t="shared" si="0"/>
        <v>2028</v>
      </c>
    </row>
    <row r="8" spans="2:11" x14ac:dyDescent="0.3">
      <c r="C8" s="1" t="s">
        <v>168</v>
      </c>
      <c r="D8" s="29"/>
      <c r="E8" s="29"/>
      <c r="F8" s="29"/>
      <c r="G8" s="74">
        <v>0.21</v>
      </c>
      <c r="H8" s="74">
        <v>0.21</v>
      </c>
      <c r="I8" s="74">
        <v>0.21</v>
      </c>
      <c r="J8" s="74">
        <v>0.21</v>
      </c>
      <c r="K8" s="74">
        <v>0.21</v>
      </c>
    </row>
    <row r="10" spans="2:11" x14ac:dyDescent="0.3">
      <c r="C10" s="1" t="s">
        <v>208</v>
      </c>
      <c r="E10" s="34"/>
      <c r="F10" s="34"/>
      <c r="G10" s="34"/>
      <c r="H10" s="34"/>
      <c r="I10" s="34"/>
      <c r="J10" s="34"/>
      <c r="K10" s="34"/>
    </row>
    <row r="11" spans="2:11" x14ac:dyDescent="0.3">
      <c r="B11" t="s">
        <v>117</v>
      </c>
      <c r="C11" t="s">
        <v>205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</row>
    <row r="13" spans="2:11" x14ac:dyDescent="0.3">
      <c r="C13" s="40" t="s">
        <v>114</v>
      </c>
      <c r="D13" s="18">
        <v>512</v>
      </c>
      <c r="E13" s="18">
        <v>604</v>
      </c>
      <c r="F13" s="18">
        <v>706</v>
      </c>
      <c r="G13" s="18">
        <v>715</v>
      </c>
      <c r="H13" s="18">
        <v>631</v>
      </c>
      <c r="I13" s="18">
        <v>563</v>
      </c>
      <c r="J13" s="18">
        <v>552</v>
      </c>
      <c r="K13" s="18">
        <v>534</v>
      </c>
    </row>
    <row r="15" spans="2:11" x14ac:dyDescent="0.3">
      <c r="C15" s="1" t="s">
        <v>112</v>
      </c>
    </row>
    <row r="16" spans="2:11" x14ac:dyDescent="0.3">
      <c r="C16" s="40" t="s">
        <v>203</v>
      </c>
      <c r="E16" s="23">
        <f>'D&amp;A Schedule'!E16/SUM('D&amp;A Schedule'!E9:E10)</f>
        <v>0.18451184766396042</v>
      </c>
      <c r="F16" s="23">
        <f>'D&amp;A Schedule'!F16/SUM('D&amp;A Schedule'!F9:F10)</f>
        <v>0.20028482651475918</v>
      </c>
      <c r="G16" s="74">
        <f>AVERAGE(E16:F16)</f>
        <v>0.1923983370893598</v>
      </c>
      <c r="H16" s="74">
        <f>G16</f>
        <v>0.1923983370893598</v>
      </c>
      <c r="I16" s="74">
        <f>H16</f>
        <v>0.1923983370893598</v>
      </c>
      <c r="J16" s="74">
        <f>I16</f>
        <v>0.1923983370893598</v>
      </c>
      <c r="K16" s="74">
        <f>J16</f>
        <v>0.1923983370893598</v>
      </c>
    </row>
    <row r="19" spans="2:11" x14ac:dyDescent="0.3">
      <c r="C19" s="1" t="s">
        <v>209</v>
      </c>
    </row>
    <row r="20" spans="2:11" x14ac:dyDescent="0.3">
      <c r="C20" t="s">
        <v>92</v>
      </c>
      <c r="E20" s="79">
        <f>'Working Cap Schedule'!E36/'Working Cap Schedule'!E25</f>
        <v>26.630258199201144</v>
      </c>
      <c r="F20" s="79">
        <f>'Working Cap Schedule'!F36/'Working Cap Schedule'!F25</f>
        <v>30.040576041476378</v>
      </c>
      <c r="G20" s="79">
        <f>AVERAGE(E20:F20)</f>
        <v>28.335417120338761</v>
      </c>
      <c r="H20" s="79">
        <f>G20</f>
        <v>28.335417120338761</v>
      </c>
      <c r="I20" s="79">
        <f>H20</f>
        <v>28.335417120338761</v>
      </c>
      <c r="J20" s="79">
        <f>I20</f>
        <v>28.335417120338761</v>
      </c>
      <c r="K20" s="79">
        <f>J20</f>
        <v>28.335417120338761</v>
      </c>
    </row>
    <row r="21" spans="2:11" x14ac:dyDescent="0.3">
      <c r="C21" t="s">
        <v>93</v>
      </c>
      <c r="E21" s="79">
        <f>'Working Cap Schedule'!E36/'Working Cap Schedule'!E26</f>
        <v>42.521474495466208</v>
      </c>
      <c r="F21" s="79">
        <f>'Working Cap Schedule'!F36/'Working Cap Schedule'!F26</f>
        <v>40.557485257876415</v>
      </c>
      <c r="G21" s="79">
        <f>AVERAGE(E21:F21)</f>
        <v>41.539479876671308</v>
      </c>
      <c r="H21" s="79">
        <f>G21</f>
        <v>41.539479876671308</v>
      </c>
      <c r="I21" s="79">
        <f t="shared" ref="I21:K21" si="1">H21</f>
        <v>41.539479876671308</v>
      </c>
      <c r="J21" s="79">
        <f t="shared" si="1"/>
        <v>41.539479876671308</v>
      </c>
      <c r="K21" s="79">
        <f t="shared" si="1"/>
        <v>41.539479876671308</v>
      </c>
    </row>
    <row r="22" spans="2:11" x14ac:dyDescent="0.3">
      <c r="E22" s="18"/>
      <c r="F22" s="18"/>
      <c r="G22" s="18"/>
      <c r="H22" s="18"/>
      <c r="I22" s="18"/>
      <c r="J22" s="18"/>
      <c r="K22" s="18"/>
    </row>
    <row r="23" spans="2:11" x14ac:dyDescent="0.3">
      <c r="C23" t="s">
        <v>94</v>
      </c>
      <c r="E23" s="79">
        <f>'Working Cap Schedule'!E36/'Working Cap Schedule'!E28</f>
        <v>100.00027697857917</v>
      </c>
      <c r="F23" s="79">
        <f>'Working Cap Schedule'!F36/'Working Cap Schedule'!F28</f>
        <v>98.563139276561259</v>
      </c>
      <c r="G23" s="79">
        <f>AVERAGE(E23:F23)</f>
        <v>99.281708127570212</v>
      </c>
      <c r="H23" s="79">
        <f>G23</f>
        <v>99.281708127570212</v>
      </c>
      <c r="I23" s="79">
        <f>H23</f>
        <v>99.281708127570212</v>
      </c>
      <c r="J23" s="79">
        <f>I23</f>
        <v>99.281708127570212</v>
      </c>
      <c r="K23" s="79">
        <f>J23</f>
        <v>99.281708127570212</v>
      </c>
    </row>
    <row r="26" spans="2:11" x14ac:dyDescent="0.3">
      <c r="C26" s="1" t="s">
        <v>210</v>
      </c>
    </row>
    <row r="27" spans="2:11" x14ac:dyDescent="0.3">
      <c r="B27" t="s">
        <v>117</v>
      </c>
      <c r="C27" t="s">
        <v>134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</row>
    <row r="28" spans="2:11" x14ac:dyDescent="0.3">
      <c r="B28" t="s">
        <v>118</v>
      </c>
      <c r="C28" t="s">
        <v>155</v>
      </c>
      <c r="D28" s="34"/>
      <c r="G28" s="35">
        <v>-8500</v>
      </c>
      <c r="H28" s="35">
        <v>-5286</v>
      </c>
      <c r="I28" s="35">
        <v>-3146</v>
      </c>
      <c r="J28" s="35">
        <v>-8750</v>
      </c>
      <c r="K28" s="35">
        <v>-2250</v>
      </c>
    </row>
    <row r="30" spans="2:11" x14ac:dyDescent="0.3">
      <c r="C30" s="80" t="s">
        <v>235</v>
      </c>
      <c r="G30" s="68">
        <v>5.0000000000000001E-3</v>
      </c>
    </row>
    <row r="31" spans="2:11" x14ac:dyDescent="0.3">
      <c r="C31" s="80" t="s">
        <v>234</v>
      </c>
      <c r="G31" s="81">
        <v>2.1526599386740501E-2</v>
      </c>
    </row>
    <row r="33" spans="2:11" x14ac:dyDescent="0.3">
      <c r="C33" s="1" t="s">
        <v>211</v>
      </c>
    </row>
    <row r="34" spans="2:11" x14ac:dyDescent="0.3">
      <c r="B34" t="s">
        <v>117</v>
      </c>
      <c r="C34" t="s">
        <v>134</v>
      </c>
      <c r="E34" s="34"/>
      <c r="G34" s="18">
        <v>0</v>
      </c>
      <c r="H34" s="18">
        <v>0</v>
      </c>
      <c r="I34" s="18">
        <v>0</v>
      </c>
      <c r="J34" s="18">
        <v>0</v>
      </c>
      <c r="K34" s="18">
        <v>0</v>
      </c>
    </row>
    <row r="35" spans="2:11" x14ac:dyDescent="0.3">
      <c r="B35" t="s">
        <v>118</v>
      </c>
      <c r="C35" t="s">
        <v>155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</row>
    <row r="39" spans="2:11" x14ac:dyDescent="0.3">
      <c r="C39" s="1" t="s">
        <v>162</v>
      </c>
      <c r="E39" s="34">
        <f>10387381291/1000000</f>
        <v>10387.381291</v>
      </c>
    </row>
  </sheetData>
  <mergeCells count="1">
    <mergeCell ref="D5:K5"/>
  </mergeCells>
  <pageMargins left="0.7" right="0.7" top="0.75" bottom="0.75" header="0.3" footer="0.3"/>
  <ignoredErrors>
    <ignoredError sqref="H2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K38"/>
  <sheetViews>
    <sheetView topLeftCell="A16" workbookViewId="0">
      <selection activeCell="E20" sqref="E20"/>
    </sheetView>
  </sheetViews>
  <sheetFormatPr defaultRowHeight="14.4" x14ac:dyDescent="0.3"/>
  <cols>
    <col min="2" max="2" width="2.44140625" customWidth="1"/>
    <col min="3" max="3" width="13.21875" bestFit="1" customWidth="1"/>
    <col min="5" max="5" width="8.5546875" customWidth="1"/>
    <col min="7" max="11" width="10" bestFit="1" customWidth="1"/>
  </cols>
  <sheetData>
    <row r="2" spans="2:11" x14ac:dyDescent="0.3">
      <c r="B2" t="s">
        <v>14</v>
      </c>
      <c r="C2" s="7"/>
      <c r="D2" s="105" t="s">
        <v>12</v>
      </c>
      <c r="E2" s="105"/>
      <c r="F2" s="105"/>
      <c r="G2" s="105"/>
      <c r="H2" s="105"/>
      <c r="I2" s="105"/>
      <c r="J2" s="105"/>
      <c r="K2" s="105"/>
    </row>
    <row r="3" spans="2:11" x14ac:dyDescent="0.3">
      <c r="D3" s="37">
        <v>2021</v>
      </c>
      <c r="E3" s="38">
        <f>D3+1</f>
        <v>2022</v>
      </c>
      <c r="F3" s="38">
        <f>E3+1</f>
        <v>2023</v>
      </c>
      <c r="G3" s="39">
        <f>F3+1</f>
        <v>2024</v>
      </c>
      <c r="H3" s="39">
        <f t="shared" ref="H3:K3" si="0">G3+1</f>
        <v>2025</v>
      </c>
      <c r="I3" s="39">
        <f t="shared" si="0"/>
        <v>2026</v>
      </c>
      <c r="J3" s="39">
        <f t="shared" si="0"/>
        <v>2027</v>
      </c>
      <c r="K3" s="39">
        <f t="shared" si="0"/>
        <v>2028</v>
      </c>
    </row>
    <row r="5" spans="2:11" x14ac:dyDescent="0.3">
      <c r="C5" s="1" t="s">
        <v>186</v>
      </c>
      <c r="E5" s="1">
        <v>1</v>
      </c>
      <c r="G5" s="86">
        <f>CHOOSE($E$5,G6,G7,G8)</f>
        <v>0.03</v>
      </c>
      <c r="H5" s="86">
        <f t="shared" ref="H5:K5" si="1">CHOOSE($E$5,H6,H7,H8)</f>
        <v>0.03</v>
      </c>
      <c r="I5" s="86">
        <f t="shared" si="1"/>
        <v>0.03</v>
      </c>
      <c r="J5" s="86">
        <f t="shared" si="1"/>
        <v>0.03</v>
      </c>
      <c r="K5" s="86">
        <f t="shared" si="1"/>
        <v>0.03</v>
      </c>
    </row>
    <row r="6" spans="2:11" x14ac:dyDescent="0.3">
      <c r="C6" t="s">
        <v>212</v>
      </c>
      <c r="G6" s="64">
        <v>0.03</v>
      </c>
      <c r="H6" s="64">
        <v>0.03</v>
      </c>
      <c r="I6" s="64">
        <v>0.03</v>
      </c>
      <c r="J6" s="64">
        <v>0.03</v>
      </c>
      <c r="K6" s="64">
        <v>0.03</v>
      </c>
    </row>
    <row r="7" spans="2:11" x14ac:dyDescent="0.3">
      <c r="C7" t="s">
        <v>214</v>
      </c>
      <c r="G7" s="64">
        <v>0.04</v>
      </c>
      <c r="H7" s="64">
        <v>0.04</v>
      </c>
      <c r="I7" s="64">
        <v>0.04</v>
      </c>
      <c r="J7" s="64">
        <v>0.04</v>
      </c>
      <c r="K7" s="64">
        <v>0.04</v>
      </c>
    </row>
    <row r="8" spans="2:11" x14ac:dyDescent="0.3">
      <c r="C8" t="s">
        <v>213</v>
      </c>
      <c r="G8" s="64">
        <v>0.02</v>
      </c>
      <c r="H8" s="64">
        <v>0.02</v>
      </c>
      <c r="I8" s="64">
        <v>0.02</v>
      </c>
      <c r="J8" s="64">
        <v>0.02</v>
      </c>
      <c r="K8" s="64">
        <v>0.02</v>
      </c>
    </row>
    <row r="10" spans="2:11" x14ac:dyDescent="0.3">
      <c r="C10" s="1" t="s">
        <v>215</v>
      </c>
      <c r="G10" s="86">
        <f>CHOOSE($E$5,G11,G12,G13)</f>
        <v>0.05</v>
      </c>
      <c r="H10" s="86">
        <f t="shared" ref="H10" si="2">CHOOSE($E$5,H11,H12,H13)</f>
        <v>0.06</v>
      </c>
      <c r="I10" s="86">
        <f t="shared" ref="I10" si="3">CHOOSE($E$5,I11,I12,I13)</f>
        <v>0.06</v>
      </c>
      <c r="J10" s="86">
        <f t="shared" ref="J10" si="4">CHOOSE($E$5,J11,J12,J13)</f>
        <v>0.06</v>
      </c>
      <c r="K10" s="86">
        <f t="shared" ref="K10" si="5">CHOOSE($E$5,K11,K12,K13)</f>
        <v>0.06</v>
      </c>
    </row>
    <row r="11" spans="2:11" x14ac:dyDescent="0.3">
      <c r="C11" t="s">
        <v>212</v>
      </c>
      <c r="G11" s="68">
        <v>0.05</v>
      </c>
      <c r="H11" s="68">
        <v>0.06</v>
      </c>
      <c r="I11" s="68">
        <v>0.06</v>
      </c>
      <c r="J11" s="68">
        <v>0.06</v>
      </c>
      <c r="K11" s="68">
        <v>0.06</v>
      </c>
    </row>
    <row r="12" spans="2:11" x14ac:dyDescent="0.3">
      <c r="C12" t="s">
        <v>214</v>
      </c>
      <c r="G12" s="68">
        <v>0.06</v>
      </c>
      <c r="H12" s="68">
        <v>0.06</v>
      </c>
      <c r="I12" s="68">
        <v>0.06</v>
      </c>
      <c r="J12" s="68">
        <v>0.06</v>
      </c>
      <c r="K12" s="68">
        <v>0.06</v>
      </c>
    </row>
    <row r="13" spans="2:11" x14ac:dyDescent="0.3">
      <c r="C13" t="s">
        <v>213</v>
      </c>
      <c r="G13" s="68">
        <v>0.04</v>
      </c>
      <c r="H13" s="68">
        <v>0.04</v>
      </c>
      <c r="I13" s="68">
        <v>0.04</v>
      </c>
      <c r="J13" s="68">
        <v>0.04</v>
      </c>
      <c r="K13" s="68">
        <v>0.04</v>
      </c>
    </row>
    <row r="15" spans="2:11" x14ac:dyDescent="0.3">
      <c r="C15" s="1" t="s">
        <v>189</v>
      </c>
      <c r="G15" s="86">
        <f>CHOOSE($E$5,G16,G17,G18)</f>
        <v>0.15</v>
      </c>
      <c r="H15" s="86">
        <f t="shared" ref="H15" si="6">CHOOSE($E$5,H16,H17,H18)</f>
        <v>0.15</v>
      </c>
      <c r="I15" s="86">
        <f t="shared" ref="I15" si="7">CHOOSE($E$5,I16,I17,I18)</f>
        <v>0.15</v>
      </c>
      <c r="J15" s="86">
        <f t="shared" ref="J15" si="8">CHOOSE($E$5,J16,J17,J18)</f>
        <v>0.15</v>
      </c>
      <c r="K15" s="86">
        <f t="shared" ref="K15" si="9">CHOOSE($E$5,K16,K17,K18)</f>
        <v>0.15</v>
      </c>
    </row>
    <row r="16" spans="2:11" x14ac:dyDescent="0.3">
      <c r="C16" t="s">
        <v>212</v>
      </c>
      <c r="G16" s="68">
        <v>0.15</v>
      </c>
      <c r="H16" s="68">
        <v>0.15</v>
      </c>
      <c r="I16" s="68">
        <v>0.15</v>
      </c>
      <c r="J16" s="68">
        <v>0.15</v>
      </c>
      <c r="K16" s="68">
        <v>0.15</v>
      </c>
    </row>
    <row r="17" spans="3:11" x14ac:dyDescent="0.3">
      <c r="C17" t="s">
        <v>214</v>
      </c>
      <c r="G17" s="68">
        <v>0.16</v>
      </c>
      <c r="H17" s="68">
        <v>0.16</v>
      </c>
      <c r="I17" s="68">
        <v>0.16</v>
      </c>
      <c r="J17" s="68">
        <v>0.16</v>
      </c>
      <c r="K17" s="68">
        <v>0.16</v>
      </c>
    </row>
    <row r="18" spans="3:11" x14ac:dyDescent="0.3">
      <c r="C18" t="s">
        <v>213</v>
      </c>
      <c r="G18" s="68">
        <v>0.14000000000000001</v>
      </c>
      <c r="H18" s="68">
        <v>0.14000000000000001</v>
      </c>
      <c r="I18" s="68">
        <v>0.14000000000000001</v>
      </c>
      <c r="J18" s="68">
        <v>0.14000000000000001</v>
      </c>
      <c r="K18" s="68">
        <v>0.14000000000000001</v>
      </c>
    </row>
    <row r="19" spans="3:11" x14ac:dyDescent="0.3">
      <c r="G19" s="68"/>
      <c r="H19" s="68"/>
      <c r="I19" s="68"/>
      <c r="J19" s="68"/>
      <c r="K19" s="68"/>
    </row>
    <row r="20" spans="3:11" x14ac:dyDescent="0.3">
      <c r="C20" s="1" t="s">
        <v>216</v>
      </c>
      <c r="G20" s="86">
        <f>CHOOSE($E$5,G21,G22,G23)</f>
        <v>0.215</v>
      </c>
      <c r="H20" s="86">
        <f t="shared" ref="H20" si="10">CHOOSE($E$5,H21,H22,H23)</f>
        <v>0.215</v>
      </c>
      <c r="I20" s="86">
        <f t="shared" ref="I20" si="11">CHOOSE($E$5,I21,I22,I23)</f>
        <v>0.215</v>
      </c>
      <c r="J20" s="86">
        <f t="shared" ref="J20" si="12">CHOOSE($E$5,J21,J22,J23)</f>
        <v>0.215</v>
      </c>
      <c r="K20" s="86">
        <f t="shared" ref="K20" si="13">CHOOSE($E$5,K21,K22,K23)</f>
        <v>0.215</v>
      </c>
    </row>
    <row r="21" spans="3:11" x14ac:dyDescent="0.3">
      <c r="C21" t="s">
        <v>212</v>
      </c>
      <c r="G21" s="85">
        <v>0.215</v>
      </c>
      <c r="H21" s="85">
        <v>0.215</v>
      </c>
      <c r="I21" s="85">
        <v>0.215</v>
      </c>
      <c r="J21" s="85">
        <v>0.215</v>
      </c>
      <c r="K21" s="85">
        <v>0.215</v>
      </c>
    </row>
    <row r="22" spans="3:11" x14ac:dyDescent="0.3">
      <c r="C22" t="s">
        <v>214</v>
      </c>
      <c r="G22" s="85">
        <v>0.22500000000000001</v>
      </c>
      <c r="H22" s="85">
        <v>0.22500000000000001</v>
      </c>
      <c r="I22" s="85">
        <v>0.22500000000000001</v>
      </c>
      <c r="J22" s="85">
        <v>0.22500000000000001</v>
      </c>
      <c r="K22" s="85">
        <v>0.22500000000000001</v>
      </c>
    </row>
    <row r="23" spans="3:11" x14ac:dyDescent="0.3">
      <c r="C23" t="s">
        <v>213</v>
      </c>
      <c r="G23" s="85">
        <v>0.20499999999999999</v>
      </c>
      <c r="H23" s="85">
        <v>0.20499999999999999</v>
      </c>
      <c r="I23" s="85">
        <v>0.20499999999999999</v>
      </c>
      <c r="J23" s="85">
        <v>0.20499999999999999</v>
      </c>
      <c r="K23" s="85">
        <v>0.20499999999999999</v>
      </c>
    </row>
    <row r="24" spans="3:11" x14ac:dyDescent="0.3">
      <c r="G24" s="18"/>
      <c r="H24" s="18"/>
      <c r="I24" s="18"/>
      <c r="J24" s="18"/>
      <c r="K24" s="18"/>
    </row>
    <row r="25" spans="3:11" x14ac:dyDescent="0.3">
      <c r="C25" s="1" t="s">
        <v>191</v>
      </c>
      <c r="G25" s="86">
        <f>CHOOSE($E$5,G26,G27,G28)</f>
        <v>0.115</v>
      </c>
      <c r="H25" s="86">
        <f t="shared" ref="H25" si="14">CHOOSE($E$5,H26,H27,H28)</f>
        <v>0.115</v>
      </c>
      <c r="I25" s="86">
        <f t="shared" ref="I25" si="15">CHOOSE($E$5,I26,I27,I28)</f>
        <v>0.115</v>
      </c>
      <c r="J25" s="86">
        <f t="shared" ref="J25" si="16">CHOOSE($E$5,J26,J27,J28)</f>
        <v>0.115</v>
      </c>
      <c r="K25" s="86">
        <f t="shared" ref="K25" si="17">CHOOSE($E$5,K26,K27,K28)</f>
        <v>0.115</v>
      </c>
    </row>
    <row r="26" spans="3:11" x14ac:dyDescent="0.3">
      <c r="C26" t="s">
        <v>212</v>
      </c>
      <c r="G26" s="68">
        <v>0.115</v>
      </c>
      <c r="H26" s="68">
        <v>0.115</v>
      </c>
      <c r="I26" s="68">
        <v>0.115</v>
      </c>
      <c r="J26" s="68">
        <v>0.115</v>
      </c>
      <c r="K26" s="68">
        <v>0.115</v>
      </c>
    </row>
    <row r="27" spans="3:11" x14ac:dyDescent="0.3">
      <c r="C27" t="s">
        <v>214</v>
      </c>
      <c r="G27" s="85">
        <v>0.125</v>
      </c>
      <c r="H27" s="85">
        <v>0.125</v>
      </c>
      <c r="I27" s="85">
        <v>0.125</v>
      </c>
      <c r="J27" s="85">
        <v>0.125</v>
      </c>
      <c r="K27" s="85">
        <v>0.125</v>
      </c>
    </row>
    <row r="28" spans="3:11" x14ac:dyDescent="0.3">
      <c r="C28" t="s">
        <v>213</v>
      </c>
      <c r="G28" s="68">
        <v>0.105</v>
      </c>
      <c r="H28" s="68">
        <v>0.105</v>
      </c>
      <c r="I28" s="68">
        <v>0.105</v>
      </c>
      <c r="J28" s="68">
        <v>0.105</v>
      </c>
      <c r="K28" s="68">
        <v>0.105</v>
      </c>
    </row>
    <row r="30" spans="3:11" x14ac:dyDescent="0.3">
      <c r="C30" s="1" t="s">
        <v>192</v>
      </c>
      <c r="G30" s="86">
        <f>CHOOSE($E$5,G31,G32,G33)</f>
        <v>0.17</v>
      </c>
      <c r="H30" s="86">
        <f t="shared" ref="H30" si="18">CHOOSE($E$5,H31,H32,H33)</f>
        <v>0.17</v>
      </c>
      <c r="I30" s="86">
        <f t="shared" ref="I30" si="19">CHOOSE($E$5,I31,I32,I33)</f>
        <v>0.17</v>
      </c>
      <c r="J30" s="86">
        <f t="shared" ref="J30" si="20">CHOOSE($E$5,J31,J32,J33)</f>
        <v>0.17</v>
      </c>
      <c r="K30" s="86">
        <f t="shared" ref="K30" si="21">CHOOSE($E$5,K31,K32,K33)</f>
        <v>0.17</v>
      </c>
    </row>
    <row r="31" spans="3:11" x14ac:dyDescent="0.3">
      <c r="C31" t="s">
        <v>212</v>
      </c>
      <c r="G31" s="74">
        <v>0.17</v>
      </c>
      <c r="H31" s="74">
        <v>0.17</v>
      </c>
      <c r="I31" s="74">
        <v>0.17</v>
      </c>
      <c r="J31" s="74">
        <v>0.17</v>
      </c>
      <c r="K31" s="74">
        <v>0.17</v>
      </c>
    </row>
    <row r="32" spans="3:11" x14ac:dyDescent="0.3">
      <c r="C32" t="s">
        <v>214</v>
      </c>
      <c r="G32" s="74">
        <v>0.18</v>
      </c>
      <c r="H32" s="74">
        <v>0.18</v>
      </c>
      <c r="I32" s="74">
        <v>0.18</v>
      </c>
      <c r="J32" s="74">
        <v>0.18</v>
      </c>
      <c r="K32" s="74">
        <v>0.18</v>
      </c>
    </row>
    <row r="33" spans="3:11" x14ac:dyDescent="0.3">
      <c r="C33" t="s">
        <v>213</v>
      </c>
      <c r="G33" s="74">
        <v>0.16</v>
      </c>
      <c r="H33" s="74">
        <v>0.16</v>
      </c>
      <c r="I33" s="74">
        <v>0.16</v>
      </c>
      <c r="J33" s="74">
        <v>0.16</v>
      </c>
      <c r="K33" s="74">
        <v>0.16</v>
      </c>
    </row>
    <row r="35" spans="3:11" x14ac:dyDescent="0.3">
      <c r="C35" s="1" t="s">
        <v>48</v>
      </c>
      <c r="G35" s="86">
        <f>CHOOSE($E$5,G36,G37,G38)</f>
        <v>0.14000000000000001</v>
      </c>
      <c r="H35" s="86">
        <f t="shared" ref="H35" si="22">CHOOSE($E$5,H36,H37,H38)</f>
        <v>0.14000000000000001</v>
      </c>
      <c r="I35" s="86">
        <f t="shared" ref="I35" si="23">CHOOSE($E$5,I36,I37,I38)</f>
        <v>0.14000000000000001</v>
      </c>
      <c r="J35" s="86">
        <f t="shared" ref="J35" si="24">CHOOSE($E$5,J36,J37,J38)</f>
        <v>0.14000000000000001</v>
      </c>
      <c r="K35" s="86">
        <f t="shared" ref="K35" si="25">CHOOSE($E$5,K36,K37,K38)</f>
        <v>0.14000000000000001</v>
      </c>
    </row>
    <row r="36" spans="3:11" x14ac:dyDescent="0.3">
      <c r="C36" t="s">
        <v>212</v>
      </c>
      <c r="G36" s="68">
        <v>0.14000000000000001</v>
      </c>
      <c r="H36" s="68">
        <v>0.14000000000000001</v>
      </c>
      <c r="I36" s="68">
        <v>0.14000000000000001</v>
      </c>
      <c r="J36" s="68">
        <v>0.14000000000000001</v>
      </c>
      <c r="K36" s="68">
        <v>0.14000000000000001</v>
      </c>
    </row>
    <row r="37" spans="3:11" x14ac:dyDescent="0.3">
      <c r="C37" t="s">
        <v>214</v>
      </c>
      <c r="G37" s="74">
        <v>0.15</v>
      </c>
      <c r="H37" s="74">
        <v>0.15</v>
      </c>
      <c r="I37" s="74">
        <v>0.15</v>
      </c>
      <c r="J37" s="74">
        <v>0.15</v>
      </c>
      <c r="K37" s="74">
        <v>0.15</v>
      </c>
    </row>
    <row r="38" spans="3:11" x14ac:dyDescent="0.3">
      <c r="C38" t="s">
        <v>213</v>
      </c>
      <c r="G38" s="74">
        <v>0.13</v>
      </c>
      <c r="H38" s="74">
        <v>0.13</v>
      </c>
      <c r="I38" s="74">
        <v>0.13</v>
      </c>
      <c r="J38" s="74">
        <v>0.13</v>
      </c>
      <c r="K38" s="74">
        <v>0.13</v>
      </c>
    </row>
  </sheetData>
  <mergeCells count="1">
    <mergeCell ref="D2:K2"/>
  </mergeCell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5" r:id="rId4" name="Drop Down 1">
              <controlPr defaultSize="0" autoLine="0" autoPict="0">
                <anchor moveWithCells="1">
                  <from>
                    <xdr:col>3</xdr:col>
                    <xdr:colOff>586740</xdr:colOff>
                    <xdr:row>3</xdr:row>
                    <xdr:rowOff>175260</xdr:rowOff>
                  </from>
                  <to>
                    <xdr:col>5</xdr:col>
                    <xdr:colOff>30480</xdr:colOff>
                    <xdr:row>5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Y31"/>
  <sheetViews>
    <sheetView tabSelected="1" workbookViewId="0">
      <selection activeCell="D22" sqref="D22"/>
    </sheetView>
  </sheetViews>
  <sheetFormatPr defaultRowHeight="14.4" outlineLevelCol="1" x14ac:dyDescent="0.3"/>
  <cols>
    <col min="1" max="1" width="3.5546875" customWidth="1"/>
    <col min="2" max="2" width="18.33203125" bestFit="1" customWidth="1"/>
    <col min="6" max="9" width="8.88671875" hidden="1" customWidth="1" outlineLevel="1"/>
    <col min="10" max="10" width="8.88671875" customWidth="1" collapsed="1"/>
    <col min="11" max="14" width="8.88671875" hidden="1" customWidth="1" outlineLevel="1"/>
    <col min="15" max="15" width="8.88671875" customWidth="1" collapsed="1"/>
    <col min="16" max="16" width="8.88671875" style="49" hidden="1" customWidth="1" outlineLevel="1"/>
    <col min="17" max="19" width="8.88671875" hidden="1" customWidth="1" outlineLevel="1"/>
    <col min="20" max="20" width="8.88671875" collapsed="1"/>
    <col min="22" max="25" width="8.88671875" customWidth="1"/>
  </cols>
  <sheetData>
    <row r="4" spans="1:25" s="57" customFormat="1" x14ac:dyDescent="0.3">
      <c r="A4" s="57" t="s">
        <v>14</v>
      </c>
      <c r="B4" s="57" t="s">
        <v>169</v>
      </c>
      <c r="P4" s="58"/>
    </row>
    <row r="5" spans="1:25" x14ac:dyDescent="0.3">
      <c r="F5" t="s">
        <v>170</v>
      </c>
      <c r="G5" t="s">
        <v>171</v>
      </c>
      <c r="H5" t="s">
        <v>172</v>
      </c>
      <c r="I5" t="s">
        <v>173</v>
      </c>
      <c r="J5" s="1" t="s">
        <v>174</v>
      </c>
      <c r="K5" t="s">
        <v>175</v>
      </c>
      <c r="L5" t="s">
        <v>176</v>
      </c>
      <c r="M5" t="s">
        <v>177</v>
      </c>
      <c r="N5" t="s">
        <v>178</v>
      </c>
      <c r="O5" s="1" t="s">
        <v>179</v>
      </c>
      <c r="P5" s="49" t="s">
        <v>180</v>
      </c>
      <c r="Q5" t="s">
        <v>181</v>
      </c>
      <c r="R5" t="s">
        <v>182</v>
      </c>
      <c r="S5" t="s">
        <v>183</v>
      </c>
      <c r="T5" s="1" t="s">
        <v>184</v>
      </c>
      <c r="U5" t="s">
        <v>193</v>
      </c>
      <c r="V5" t="s">
        <v>194</v>
      </c>
      <c r="W5" s="2">
        <v>2026</v>
      </c>
      <c r="X5" s="2">
        <v>2027</v>
      </c>
      <c r="Y5" s="2">
        <v>2028</v>
      </c>
    </row>
    <row r="7" spans="1:25" x14ac:dyDescent="0.3">
      <c r="B7" s="1" t="s">
        <v>185</v>
      </c>
      <c r="F7" s="46"/>
      <c r="K7" s="46"/>
      <c r="L7" s="46"/>
      <c r="M7" s="46"/>
      <c r="N7" s="46"/>
      <c r="T7" s="51"/>
    </row>
    <row r="8" spans="1:25" x14ac:dyDescent="0.3">
      <c r="B8" s="90" t="s">
        <v>186</v>
      </c>
      <c r="F8" s="59">
        <v>52901</v>
      </c>
      <c r="G8" s="59">
        <v>53157</v>
      </c>
      <c r="H8" s="59">
        <v>49942</v>
      </c>
      <c r="I8" s="59">
        <v>66075</v>
      </c>
      <c r="J8" s="53">
        <f>SUM(F8:I8)</f>
        <v>222075</v>
      </c>
      <c r="K8" s="59">
        <v>51129</v>
      </c>
      <c r="L8" s="59">
        <v>50855</v>
      </c>
      <c r="M8" s="59">
        <v>53489</v>
      </c>
      <c r="N8" s="59">
        <v>64531</v>
      </c>
      <c r="O8" s="53">
        <f>SUM(K8:N8)</f>
        <v>220004</v>
      </c>
      <c r="P8" s="34">
        <v>51096</v>
      </c>
      <c r="Q8" s="34">
        <v>52966</v>
      </c>
      <c r="R8" s="34">
        <v>57267</v>
      </c>
      <c r="S8" s="34">
        <v>70543</v>
      </c>
      <c r="T8" s="53">
        <f>SUM(P8:S8)</f>
        <v>231872</v>
      </c>
      <c r="U8" s="75">
        <f>T8*(1+U9)</f>
        <v>238828.16</v>
      </c>
      <c r="V8" s="75">
        <f t="shared" ref="V8:Y8" si="0">U8*(1+V9)</f>
        <v>245993.00480000002</v>
      </c>
      <c r="W8" s="75">
        <f t="shared" si="0"/>
        <v>253372.79494400002</v>
      </c>
      <c r="X8" s="75">
        <f t="shared" si="0"/>
        <v>260973.97879232003</v>
      </c>
      <c r="Y8" s="75">
        <f t="shared" si="0"/>
        <v>268803.19815608964</v>
      </c>
    </row>
    <row r="9" spans="1:25" x14ac:dyDescent="0.3">
      <c r="B9" t="s">
        <v>187</v>
      </c>
      <c r="F9" s="60"/>
      <c r="G9" s="60"/>
      <c r="H9" s="60"/>
      <c r="I9" s="60"/>
      <c r="J9" s="53"/>
      <c r="K9" s="60"/>
      <c r="L9" s="60"/>
      <c r="M9" s="60"/>
      <c r="N9" s="60"/>
      <c r="O9" s="61">
        <f>O8/J8-1</f>
        <v>-9.3256782618484912E-3</v>
      </c>
      <c r="P9"/>
      <c r="T9" s="61">
        <f>T8/O8-1</f>
        <v>5.3944473736841081E-2</v>
      </c>
      <c r="U9" s="87">
        <f>Scenerio!G5</f>
        <v>0.03</v>
      </c>
      <c r="V9" s="87">
        <f>Scenerio!H5</f>
        <v>0.03</v>
      </c>
      <c r="W9" s="87">
        <f>Scenerio!I5</f>
        <v>0.03</v>
      </c>
      <c r="X9" s="87">
        <f>Scenerio!J5</f>
        <v>0.03</v>
      </c>
      <c r="Y9" s="87">
        <f>Scenerio!K5</f>
        <v>0.03</v>
      </c>
    </row>
    <row r="10" spans="1:25" x14ac:dyDescent="0.3">
      <c r="B10" s="90" t="s">
        <v>188</v>
      </c>
      <c r="F10" s="59">
        <v>3920</v>
      </c>
      <c r="G10" s="59">
        <v>4198</v>
      </c>
      <c r="H10" s="59">
        <v>4269</v>
      </c>
      <c r="I10" s="59">
        <v>4688</v>
      </c>
      <c r="J10" s="53">
        <f t="shared" ref="J10:J20" si="1">SUM(F10:I10)</f>
        <v>17075</v>
      </c>
      <c r="K10" s="59">
        <v>4591</v>
      </c>
      <c r="L10" s="59">
        <v>4721</v>
      </c>
      <c r="M10" s="62">
        <v>4694</v>
      </c>
      <c r="N10" s="59">
        <v>4957</v>
      </c>
      <c r="O10" s="53">
        <f t="shared" ref="O10:O20" si="2">SUM(K10:N10)</f>
        <v>18963</v>
      </c>
      <c r="P10" s="34">
        <v>4895</v>
      </c>
      <c r="Q10" s="34">
        <v>5024</v>
      </c>
      <c r="R10" s="34">
        <v>4959</v>
      </c>
      <c r="S10" s="34">
        <v>5152</v>
      </c>
      <c r="T10" s="53">
        <f t="shared" ref="T10:T20" si="3">SUM(P10:S10)</f>
        <v>20030</v>
      </c>
      <c r="U10" s="75">
        <f>T10*(1+U11)</f>
        <v>21031.5</v>
      </c>
      <c r="V10" s="75">
        <f t="shared" ref="V10" si="4">U10*(1+V11)</f>
        <v>22293.39</v>
      </c>
      <c r="W10" s="75">
        <f t="shared" ref="W10" si="5">V10*(1+W11)</f>
        <v>23630.993399999999</v>
      </c>
      <c r="X10" s="75">
        <f t="shared" ref="X10" si="6">W10*(1+X11)</f>
        <v>25048.853004000001</v>
      </c>
      <c r="Y10" s="75">
        <f t="shared" ref="Y10" si="7">X10*(1+Y11)</f>
        <v>26551.784184240001</v>
      </c>
    </row>
    <row r="11" spans="1:25" x14ac:dyDescent="0.3">
      <c r="B11" t="s">
        <v>187</v>
      </c>
      <c r="F11" s="60"/>
      <c r="G11" s="60"/>
      <c r="H11" s="60"/>
      <c r="I11" s="60"/>
      <c r="J11" s="53"/>
      <c r="K11" s="60"/>
      <c r="L11" s="60"/>
      <c r="M11" s="60"/>
      <c r="N11" s="60"/>
      <c r="O11" s="61">
        <f>O10/J10-1</f>
        <v>0.11057101024890192</v>
      </c>
      <c r="T11" s="61">
        <f>T10/O10-1</f>
        <v>5.6267468227601203E-2</v>
      </c>
      <c r="U11" s="87">
        <f>Scenerio!G10</f>
        <v>0.05</v>
      </c>
      <c r="V11" s="87">
        <f>Scenerio!H10</f>
        <v>0.06</v>
      </c>
      <c r="W11" s="87">
        <f>Scenerio!I10</f>
        <v>0.06</v>
      </c>
      <c r="X11" s="87">
        <f>Scenerio!J10</f>
        <v>0.06</v>
      </c>
      <c r="Y11" s="87">
        <f>Scenerio!K10</f>
        <v>0.06</v>
      </c>
    </row>
    <row r="12" spans="1:25" x14ac:dyDescent="0.3">
      <c r="B12" s="90" t="s">
        <v>189</v>
      </c>
      <c r="F12" s="59">
        <v>23709</v>
      </c>
      <c r="G12" s="59">
        <v>25085</v>
      </c>
      <c r="H12" s="59">
        <v>24252</v>
      </c>
      <c r="I12" s="59">
        <v>30320</v>
      </c>
      <c r="J12" s="53">
        <f t="shared" si="1"/>
        <v>103366</v>
      </c>
      <c r="K12" s="59">
        <v>25335</v>
      </c>
      <c r="L12" s="59">
        <v>27376</v>
      </c>
      <c r="M12" s="59">
        <v>28666</v>
      </c>
      <c r="N12" s="59">
        <v>36339</v>
      </c>
      <c r="O12" s="53">
        <f t="shared" si="2"/>
        <v>117716</v>
      </c>
      <c r="P12" s="34">
        <v>29820</v>
      </c>
      <c r="Q12" s="34">
        <v>32332</v>
      </c>
      <c r="R12" s="34">
        <v>34342</v>
      </c>
      <c r="S12" s="34">
        <v>43559</v>
      </c>
      <c r="T12" s="53">
        <f t="shared" si="3"/>
        <v>140053</v>
      </c>
      <c r="U12" s="75">
        <f>T12*(1+U13)</f>
        <v>161060.94999999998</v>
      </c>
      <c r="V12" s="75">
        <f t="shared" ref="V12" si="8">U12*(1+V13)</f>
        <v>185220.09249999997</v>
      </c>
      <c r="W12" s="75">
        <f t="shared" ref="W12" si="9">V12*(1+W13)</f>
        <v>213003.10637499994</v>
      </c>
      <c r="X12" s="75">
        <f t="shared" ref="X12" si="10">W12*(1+X13)</f>
        <v>244953.57233124992</v>
      </c>
      <c r="Y12" s="75">
        <f t="shared" ref="Y12" si="11">X12*(1+Y13)</f>
        <v>281696.60818093736</v>
      </c>
    </row>
    <row r="13" spans="1:25" x14ac:dyDescent="0.3">
      <c r="B13" t="s">
        <v>187</v>
      </c>
      <c r="F13" s="60"/>
      <c r="G13" s="60"/>
      <c r="H13" s="60"/>
      <c r="I13" s="60"/>
      <c r="J13" s="53"/>
      <c r="K13" s="60"/>
      <c r="L13" s="60"/>
      <c r="M13" s="60"/>
      <c r="N13" s="60"/>
      <c r="O13" s="61">
        <f>O12/J12-1</f>
        <v>0.13882708047133496</v>
      </c>
      <c r="T13" s="61">
        <f>T12/O12-1</f>
        <v>0.18975330456352579</v>
      </c>
      <c r="U13" s="87">
        <f>Scenerio!G15</f>
        <v>0.15</v>
      </c>
      <c r="V13" s="87">
        <f>Scenerio!H15</f>
        <v>0.15</v>
      </c>
      <c r="W13" s="87">
        <f>Scenerio!I15</f>
        <v>0.15</v>
      </c>
      <c r="X13" s="87">
        <f>Scenerio!J15</f>
        <v>0.15</v>
      </c>
      <c r="Y13" s="87">
        <f>Scenerio!K15</f>
        <v>0.15</v>
      </c>
    </row>
    <row r="14" spans="1:25" x14ac:dyDescent="0.3">
      <c r="B14" s="90" t="s">
        <v>190</v>
      </c>
      <c r="F14" s="59">
        <v>6381</v>
      </c>
      <c r="G14" s="59">
        <v>7451</v>
      </c>
      <c r="H14" s="59">
        <v>7612</v>
      </c>
      <c r="I14" s="59">
        <v>9716</v>
      </c>
      <c r="J14" s="53">
        <f t="shared" si="1"/>
        <v>31160</v>
      </c>
      <c r="K14" s="59">
        <v>7877</v>
      </c>
      <c r="L14" s="59">
        <v>8757</v>
      </c>
      <c r="M14" s="59">
        <v>9548</v>
      </c>
      <c r="N14" s="59">
        <v>11557</v>
      </c>
      <c r="O14" s="53">
        <f t="shared" si="2"/>
        <v>37739</v>
      </c>
      <c r="P14" s="34">
        <v>9509</v>
      </c>
      <c r="Q14" s="34">
        <v>10683</v>
      </c>
      <c r="R14" s="34">
        <v>12060</v>
      </c>
      <c r="S14" s="34">
        <v>14654</v>
      </c>
      <c r="T14" s="53">
        <f t="shared" si="3"/>
        <v>46906</v>
      </c>
      <c r="U14" s="75">
        <f>T14*(1+U15)</f>
        <v>56990.79</v>
      </c>
      <c r="V14" s="75">
        <f t="shared" ref="V14" si="12">U14*(1+V15)</f>
        <v>69243.809850000005</v>
      </c>
      <c r="W14" s="75">
        <f t="shared" ref="W14" si="13">V14*(1+W15)</f>
        <v>84131.228967750008</v>
      </c>
      <c r="X14" s="75">
        <f t="shared" ref="X14" si="14">W14*(1+X15)</f>
        <v>102219.44319581626</v>
      </c>
      <c r="Y14" s="75">
        <f t="shared" ref="Y14" si="15">X14*(1+Y15)</f>
        <v>124196.62348291677</v>
      </c>
    </row>
    <row r="15" spans="1:25" x14ac:dyDescent="0.3">
      <c r="B15" t="s">
        <v>187</v>
      </c>
      <c r="F15" s="60"/>
      <c r="G15" s="60"/>
      <c r="H15" s="60"/>
      <c r="I15" s="60"/>
      <c r="J15" s="53"/>
      <c r="K15" s="60"/>
      <c r="L15" s="60"/>
      <c r="M15" s="60"/>
      <c r="N15" s="60"/>
      <c r="O15" s="61">
        <f>O14/J14-1</f>
        <v>0.21113607188703476</v>
      </c>
      <c r="T15" s="61">
        <f>T14/O14-1</f>
        <v>0.24290521741434601</v>
      </c>
      <c r="U15" s="87">
        <f>Scenerio!G20</f>
        <v>0.215</v>
      </c>
      <c r="V15" s="87">
        <f>Scenerio!H20</f>
        <v>0.215</v>
      </c>
      <c r="W15" s="87">
        <f>Scenerio!I20</f>
        <v>0.215</v>
      </c>
      <c r="X15" s="87">
        <f>Scenerio!J20</f>
        <v>0.215</v>
      </c>
      <c r="Y15" s="87">
        <f>Scenerio!K20</f>
        <v>0.215</v>
      </c>
    </row>
    <row r="16" spans="1:25" x14ac:dyDescent="0.3">
      <c r="B16" s="91" t="s">
        <v>191</v>
      </c>
      <c r="F16" s="59">
        <v>7580</v>
      </c>
      <c r="G16" s="59">
        <v>7917</v>
      </c>
      <c r="H16" s="59">
        <v>8148</v>
      </c>
      <c r="I16" s="59">
        <v>8123</v>
      </c>
      <c r="J16" s="53">
        <f t="shared" si="1"/>
        <v>31768</v>
      </c>
      <c r="K16" s="59">
        <v>8410</v>
      </c>
      <c r="L16" s="59">
        <v>8716</v>
      </c>
      <c r="M16" s="59">
        <v>8903</v>
      </c>
      <c r="N16" s="59">
        <v>9189</v>
      </c>
      <c r="O16" s="53">
        <f t="shared" si="2"/>
        <v>35218</v>
      </c>
      <c r="P16" s="34">
        <v>9657</v>
      </c>
      <c r="Q16" s="34">
        <v>9894</v>
      </c>
      <c r="R16" s="34">
        <v>10170</v>
      </c>
      <c r="S16" s="34">
        <v>10488</v>
      </c>
      <c r="T16" s="53">
        <f t="shared" si="3"/>
        <v>40209</v>
      </c>
      <c r="U16" s="88">
        <f>T16*(1+U17)</f>
        <v>44833.034999999996</v>
      </c>
      <c r="V16" s="88">
        <f t="shared" ref="V16" si="16">U16*(1+V17)</f>
        <v>49988.834024999996</v>
      </c>
      <c r="W16" s="88">
        <f t="shared" ref="W16" si="17">V16*(1+W17)</f>
        <v>55737.549937874996</v>
      </c>
      <c r="X16" s="88">
        <f t="shared" ref="X16" si="18">W16*(1+X17)</f>
        <v>62147.36818073062</v>
      </c>
      <c r="Y16" s="88">
        <f t="shared" ref="Y16" si="19">X16*(1+Y17)</f>
        <v>69294.31552151464</v>
      </c>
    </row>
    <row r="17" spans="2:25" x14ac:dyDescent="0.3">
      <c r="B17" t="s">
        <v>187</v>
      </c>
      <c r="F17" s="60"/>
      <c r="G17" s="60"/>
      <c r="H17" s="60"/>
      <c r="I17" s="60"/>
      <c r="J17" s="53"/>
      <c r="K17" s="60"/>
      <c r="L17" s="60"/>
      <c r="M17" s="60"/>
      <c r="N17" s="60"/>
      <c r="O17" s="61">
        <f>O16/J16-1</f>
        <v>0.10859984890455809</v>
      </c>
      <c r="T17" s="61">
        <f>T16/O16-1</f>
        <v>0.14171730365154178</v>
      </c>
      <c r="U17" s="87">
        <f>Scenerio!G25</f>
        <v>0.115</v>
      </c>
      <c r="V17" s="87">
        <f>Scenerio!H25</f>
        <v>0.115</v>
      </c>
      <c r="W17" s="87">
        <f>Scenerio!I25</f>
        <v>0.115</v>
      </c>
      <c r="X17" s="87">
        <f>Scenerio!J25</f>
        <v>0.115</v>
      </c>
      <c r="Y17" s="87">
        <f>Scenerio!K25</f>
        <v>0.115</v>
      </c>
    </row>
    <row r="18" spans="2:25" x14ac:dyDescent="0.3">
      <c r="B18" s="90" t="s">
        <v>192</v>
      </c>
      <c r="F18" s="59">
        <v>13503</v>
      </c>
      <c r="G18" s="59">
        <v>14809</v>
      </c>
      <c r="H18" s="59">
        <v>16110</v>
      </c>
      <c r="I18" s="59">
        <v>17780</v>
      </c>
      <c r="J18" s="53">
        <f t="shared" si="1"/>
        <v>62202</v>
      </c>
      <c r="K18" s="59">
        <v>18441</v>
      </c>
      <c r="L18" s="59">
        <v>19739</v>
      </c>
      <c r="M18" s="59">
        <v>20538</v>
      </c>
      <c r="N18" s="59">
        <v>21378</v>
      </c>
      <c r="O18" s="53">
        <f t="shared" si="2"/>
        <v>80096</v>
      </c>
      <c r="P18" s="34">
        <v>21354</v>
      </c>
      <c r="Q18" s="34">
        <v>22140</v>
      </c>
      <c r="R18" s="34">
        <v>23059</v>
      </c>
      <c r="S18" s="34">
        <v>24204</v>
      </c>
      <c r="T18" s="53">
        <f t="shared" si="3"/>
        <v>90757</v>
      </c>
      <c r="U18" s="75">
        <f>T18*(1+U19)</f>
        <v>106185.68999999999</v>
      </c>
      <c r="V18" s="75">
        <f t="shared" ref="V18" si="20">U18*(1+V19)</f>
        <v>124237.25729999998</v>
      </c>
      <c r="W18" s="75">
        <f t="shared" ref="W18" si="21">V18*(1+W19)</f>
        <v>145357.59104099998</v>
      </c>
      <c r="X18" s="75">
        <f t="shared" ref="X18" si="22">W18*(1+X19)</f>
        <v>170068.38151796997</v>
      </c>
      <c r="Y18" s="75">
        <f t="shared" ref="Y18" si="23">X18*(1+Y19)</f>
        <v>198980.00637602486</v>
      </c>
    </row>
    <row r="19" spans="2:25" x14ac:dyDescent="0.3">
      <c r="B19" t="s">
        <v>187</v>
      </c>
      <c r="F19" s="60"/>
      <c r="G19" s="60"/>
      <c r="H19" s="60"/>
      <c r="I19" s="60"/>
      <c r="J19" s="53"/>
      <c r="K19" s="60"/>
      <c r="L19" s="60"/>
      <c r="M19" s="60"/>
      <c r="N19" s="60"/>
      <c r="O19" s="61">
        <f>O18/J18-1</f>
        <v>0.28767563743931057</v>
      </c>
      <c r="T19" s="61">
        <f>T18/O18-1</f>
        <v>0.13310277666799841</v>
      </c>
      <c r="U19" s="87">
        <f>Scenerio!G30</f>
        <v>0.17</v>
      </c>
      <c r="V19" s="87">
        <f>Scenerio!H30</f>
        <v>0.17</v>
      </c>
      <c r="W19" s="87">
        <f>Scenerio!I30</f>
        <v>0.17</v>
      </c>
      <c r="X19" s="87">
        <f>Scenerio!J30</f>
        <v>0.17</v>
      </c>
      <c r="Y19" s="87">
        <f>Scenerio!K30</f>
        <v>0.17</v>
      </c>
    </row>
    <row r="20" spans="2:25" x14ac:dyDescent="0.3">
      <c r="B20" s="90" t="s">
        <v>48</v>
      </c>
      <c r="F20" s="60">
        <v>524</v>
      </c>
      <c r="G20" s="60">
        <v>463</v>
      </c>
      <c r="H20" s="63">
        <v>479</v>
      </c>
      <c r="I20" s="60">
        <v>710</v>
      </c>
      <c r="J20" s="53">
        <f t="shared" si="1"/>
        <v>2176</v>
      </c>
      <c r="K20" s="60">
        <v>661</v>
      </c>
      <c r="L20" s="59">
        <v>1070</v>
      </c>
      <c r="M20" s="59">
        <v>1263</v>
      </c>
      <c r="N20" s="59">
        <v>1253</v>
      </c>
      <c r="O20" s="53">
        <f t="shared" si="2"/>
        <v>4247</v>
      </c>
      <c r="P20" s="34">
        <v>1027</v>
      </c>
      <c r="Q20" s="34">
        <v>1344</v>
      </c>
      <c r="R20" s="34">
        <v>1226</v>
      </c>
      <c r="S20" s="34">
        <v>1361</v>
      </c>
      <c r="T20" s="53">
        <f t="shared" si="3"/>
        <v>4958</v>
      </c>
      <c r="U20" s="75">
        <f>T20*(1+U21)</f>
        <v>5652.1200000000008</v>
      </c>
      <c r="V20" s="75">
        <f t="shared" ref="V20" si="24">U20*(1+V21)</f>
        <v>6443.4168000000018</v>
      </c>
      <c r="W20" s="75">
        <f t="shared" ref="W20" si="25">V20*(1+W21)</f>
        <v>7345.4951520000031</v>
      </c>
      <c r="X20" s="75">
        <f t="shared" ref="X20" si="26">W20*(1+X21)</f>
        <v>8373.8644732800039</v>
      </c>
      <c r="Y20" s="75">
        <f>X20*(1+Y21)</f>
        <v>9546.2054995392064</v>
      </c>
    </row>
    <row r="21" spans="2:25" x14ac:dyDescent="0.3">
      <c r="B21" t="s">
        <v>187</v>
      </c>
      <c r="O21" s="65">
        <f>O20/J20-1</f>
        <v>0.95174632352941169</v>
      </c>
      <c r="P21" s="66"/>
      <c r="Q21" s="67"/>
      <c r="R21" s="67"/>
      <c r="S21" s="67"/>
      <c r="T21" s="65">
        <f>T20/O20-1</f>
        <v>0.16741229102896171</v>
      </c>
      <c r="U21" s="87">
        <f>Scenerio!G35</f>
        <v>0.14000000000000001</v>
      </c>
      <c r="V21" s="87">
        <f>Scenerio!H35</f>
        <v>0.14000000000000001</v>
      </c>
      <c r="W21" s="87">
        <f>Scenerio!I35</f>
        <v>0.14000000000000001</v>
      </c>
      <c r="X21" s="87">
        <f>Scenerio!J35</f>
        <v>0.14000000000000001</v>
      </c>
      <c r="Y21" s="87">
        <f>Scenerio!K35</f>
        <v>0.14000000000000001</v>
      </c>
    </row>
    <row r="22" spans="2:25" x14ac:dyDescent="0.3">
      <c r="T22" s="51"/>
    </row>
    <row r="23" spans="2:25" x14ac:dyDescent="0.3">
      <c r="B23" s="1" t="s">
        <v>195</v>
      </c>
      <c r="P23"/>
      <c r="U23" s="53">
        <f>SUM(U8,U10,U12,U14,U16,U18,U20)</f>
        <v>634582.24499999988</v>
      </c>
      <c r="V23" s="53">
        <f>SUM(V8,V10,V12,V14,V16,V18,V20)</f>
        <v>703419.80527499993</v>
      </c>
      <c r="W23" s="53">
        <f>V23*(1+W24)</f>
        <v>779724.65563249239</v>
      </c>
      <c r="X23" s="53">
        <f t="shared" ref="X23:Y23" si="27">W23*(1+X24)</f>
        <v>864306.82508793531</v>
      </c>
      <c r="Y23" s="53">
        <f t="shared" si="27"/>
        <v>958064.21215142729</v>
      </c>
    </row>
    <row r="24" spans="2:25" x14ac:dyDescent="0.3">
      <c r="B24" t="s">
        <v>187</v>
      </c>
      <c r="L24" s="49"/>
      <c r="P24"/>
      <c r="V24" s="89">
        <f>V23/U23-1</f>
        <v>0.10847697176746585</v>
      </c>
      <c r="W24" s="89">
        <f>V24</f>
        <v>0.10847697176746585</v>
      </c>
      <c r="X24" s="89">
        <f t="shared" ref="X24:Y24" si="28">W24</f>
        <v>0.10847697176746585</v>
      </c>
      <c r="Y24" s="89">
        <f t="shared" si="28"/>
        <v>0.10847697176746585</v>
      </c>
    </row>
    <row r="25" spans="2:25" x14ac:dyDescent="0.3">
      <c r="P25"/>
    </row>
    <row r="26" spans="2:25" x14ac:dyDescent="0.3">
      <c r="J26" s="92" t="s">
        <v>217</v>
      </c>
      <c r="P26"/>
      <c r="U26" s="53">
        <v>634582.245</v>
      </c>
      <c r="V26" s="53">
        <v>703419.80527499993</v>
      </c>
      <c r="W26" s="53">
        <v>779724.65563249239</v>
      </c>
      <c r="X26" s="53">
        <v>864306.82508793531</v>
      </c>
      <c r="Y26" s="53">
        <v>958064.21215142729</v>
      </c>
    </row>
    <row r="27" spans="2:25" x14ac:dyDescent="0.3">
      <c r="J27" s="92"/>
      <c r="M27" s="49"/>
      <c r="P27"/>
      <c r="V27" s="89">
        <f>V26/U26-1</f>
        <v>0.10847697176746562</v>
      </c>
      <c r="W27" s="89">
        <f t="shared" ref="W27:Y27" si="29">W26/V26-1</f>
        <v>0.10847697176746585</v>
      </c>
      <c r="X27" s="89">
        <f t="shared" si="29"/>
        <v>0.10847697176746585</v>
      </c>
      <c r="Y27" s="89">
        <f t="shared" si="29"/>
        <v>0.10847697176746585</v>
      </c>
    </row>
    <row r="28" spans="2:25" x14ac:dyDescent="0.3">
      <c r="J28" s="92" t="s">
        <v>218</v>
      </c>
      <c r="U28" s="31">
        <v>640330.09499999997</v>
      </c>
      <c r="V28" s="31">
        <v>715958.61367499991</v>
      </c>
      <c r="W28" s="31">
        <v>800519.51407254685</v>
      </c>
      <c r="X28" s="31">
        <v>895067.78767779958</v>
      </c>
      <c r="Y28" s="31">
        <v>1000783.0295887413</v>
      </c>
    </row>
    <row r="29" spans="2:25" x14ac:dyDescent="0.3">
      <c r="J29" s="92"/>
      <c r="U29" s="31"/>
      <c r="V29" s="89">
        <f>V28/U28-1</f>
        <v>0.1181086431288223</v>
      </c>
      <c r="W29" s="89">
        <f t="shared" ref="W29:Y29" si="30">W28/V28-1</f>
        <v>0.1181086431288223</v>
      </c>
      <c r="X29" s="89">
        <f t="shared" si="30"/>
        <v>0.1181086431288223</v>
      </c>
      <c r="Y29" s="89">
        <f t="shared" si="30"/>
        <v>0.1181086431288223</v>
      </c>
    </row>
    <row r="30" spans="2:25" x14ac:dyDescent="0.3">
      <c r="J30" s="92" t="s">
        <v>219</v>
      </c>
      <c r="U30" s="31">
        <v>628834.39500000002</v>
      </c>
      <c r="V30" s="31">
        <v>690575.323875</v>
      </c>
      <c r="W30" s="31">
        <v>758378.17036878376</v>
      </c>
      <c r="X30" s="31">
        <v>832838.11252428824</v>
      </c>
      <c r="Y30" s="31">
        <v>914608.76482735004</v>
      </c>
    </row>
    <row r="31" spans="2:25" x14ac:dyDescent="0.3">
      <c r="V31" s="89">
        <f>V30/U30-1</f>
        <v>9.8183129558299553E-2</v>
      </c>
      <c r="W31" s="89">
        <f t="shared" ref="W31:Y31" si="31">W30/V30-1</f>
        <v>9.8183129558299553E-2</v>
      </c>
      <c r="X31" s="89">
        <f t="shared" si="31"/>
        <v>9.8183129558299553E-2</v>
      </c>
      <c r="Y31" s="89">
        <f t="shared" si="31"/>
        <v>9.8183129558299553E-2</v>
      </c>
    </row>
  </sheetData>
  <pageMargins left="0.7" right="0.7" top="0.75" bottom="0.75" header="0.3" footer="0.3"/>
  <ignoredErrors>
    <ignoredError sqref="O9:O10 T18:T20 T9:T10 O11:O12 T11:T12 O13:O16 T14:T16 O17:O18 T17 O19:O20 T13 U20:Y20 V12 U11:Y11 U13:Y14 U12 W12:Y12 U21:Y21 U9 W9:Y9 U16:Y19 V15:Y1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N112"/>
  <sheetViews>
    <sheetView zoomScaleNormal="90" workbookViewId="0">
      <selection activeCell="D56" sqref="D56:E56"/>
    </sheetView>
  </sheetViews>
  <sheetFormatPr defaultRowHeight="14.4" x14ac:dyDescent="0.3"/>
  <cols>
    <col min="2" max="2" width="2.77734375" customWidth="1"/>
    <col min="3" max="3" width="46.6640625" bestFit="1" customWidth="1"/>
    <col min="4" max="4" width="15.21875" bestFit="1" customWidth="1"/>
    <col min="5" max="5" width="17.21875" bestFit="1" customWidth="1"/>
    <col min="6" max="6" width="15.21875" bestFit="1" customWidth="1"/>
    <col min="7" max="10" width="16.77734375" bestFit="1" customWidth="1"/>
    <col min="11" max="11" width="17.88671875" bestFit="1" customWidth="1"/>
  </cols>
  <sheetData>
    <row r="3" spans="2:11" x14ac:dyDescent="0.3">
      <c r="B3" t="s">
        <v>14</v>
      </c>
      <c r="C3" s="7" t="s">
        <v>0</v>
      </c>
      <c r="D3" s="105" t="s">
        <v>12</v>
      </c>
      <c r="E3" s="105"/>
      <c r="F3" s="105"/>
      <c r="G3" s="105"/>
      <c r="H3" s="105"/>
      <c r="I3" s="105"/>
      <c r="J3" s="105"/>
      <c r="K3" s="105"/>
    </row>
    <row r="4" spans="2:11" x14ac:dyDescent="0.3">
      <c r="D4" s="13">
        <v>2021</v>
      </c>
      <c r="E4" s="3">
        <f t="shared" ref="E4:K4" si="0">D4+1</f>
        <v>2022</v>
      </c>
      <c r="F4" s="3">
        <f t="shared" si="0"/>
        <v>2023</v>
      </c>
      <c r="G4" s="2">
        <f t="shared" si="0"/>
        <v>2024</v>
      </c>
      <c r="H4" s="2">
        <f t="shared" si="0"/>
        <v>2025</v>
      </c>
      <c r="I4" s="2">
        <f t="shared" si="0"/>
        <v>2026</v>
      </c>
      <c r="J4" s="2">
        <f t="shared" si="0"/>
        <v>2027</v>
      </c>
      <c r="K4" s="2">
        <f t="shared" si="0"/>
        <v>2028</v>
      </c>
    </row>
    <row r="5" spans="2:11" x14ac:dyDescent="0.3">
      <c r="B5" t="s">
        <v>14</v>
      </c>
      <c r="C5" t="s">
        <v>1</v>
      </c>
      <c r="D5" s="21">
        <v>469822</v>
      </c>
      <c r="E5" s="21">
        <v>513983</v>
      </c>
      <c r="F5" s="21">
        <v>574785</v>
      </c>
      <c r="G5" s="32">
        <f>'Revenue model'!U23</f>
        <v>634582.24499999988</v>
      </c>
      <c r="H5" s="32">
        <f>'Revenue model'!V23</f>
        <v>703419.80527499993</v>
      </c>
      <c r="I5" s="32">
        <f>'Revenue model'!W23</f>
        <v>779724.65563249239</v>
      </c>
      <c r="J5" s="32">
        <f>'Revenue model'!X23</f>
        <v>864306.82508793531</v>
      </c>
      <c r="K5" s="32">
        <f>'Revenue model'!Y23</f>
        <v>958064.21215142729</v>
      </c>
    </row>
    <row r="6" spans="2:11" x14ac:dyDescent="0.3">
      <c r="C6" s="12" t="s">
        <v>105</v>
      </c>
      <c r="D6" s="21"/>
      <c r="E6" s="27">
        <f t="shared" ref="E6:K6" si="1">E5/D5-1</f>
        <v>9.399517263985091E-2</v>
      </c>
      <c r="F6" s="27">
        <f t="shared" si="1"/>
        <v>0.1182957412988368</v>
      </c>
      <c r="G6" s="99">
        <f>G5/F5-1</f>
        <v>0.10403410840575145</v>
      </c>
      <c r="H6" s="27">
        <f>H5/G5-1</f>
        <v>0.10847697176746585</v>
      </c>
      <c r="I6" s="27">
        <f>I5/H5-1</f>
        <v>0.10847697176746585</v>
      </c>
      <c r="J6" s="27">
        <f t="shared" si="1"/>
        <v>0.10847697176746585</v>
      </c>
      <c r="K6" s="27">
        <f t="shared" si="1"/>
        <v>0.10847697176746585</v>
      </c>
    </row>
    <row r="7" spans="2:11" x14ac:dyDescent="0.3">
      <c r="C7" t="s">
        <v>2</v>
      </c>
      <c r="D7" s="28">
        <v>-272344</v>
      </c>
      <c r="E7" s="28">
        <v>-288831</v>
      </c>
      <c r="F7" s="28">
        <v>-304739</v>
      </c>
      <c r="G7" s="29">
        <f>G5*G8</f>
        <v>-353631.65241349558</v>
      </c>
      <c r="H7" s="29">
        <f>H5*H8</f>
        <v>-391992.54318843666</v>
      </c>
      <c r="I7" s="29">
        <f>I5*I8</f>
        <v>-434514.7072289458</v>
      </c>
      <c r="J7" s="29">
        <f>J5*J8</f>
        <v>-481649.54685756884</v>
      </c>
      <c r="K7" s="29">
        <f>K5*K8</f>
        <v>-533897.43115385005</v>
      </c>
    </row>
    <row r="8" spans="2:11" x14ac:dyDescent="0.3">
      <c r="C8" s="19" t="s">
        <v>99</v>
      </c>
      <c r="D8" s="26">
        <f>D7/D5</f>
        <v>-0.57967485558360399</v>
      </c>
      <c r="E8" s="26">
        <f>E7/E5</f>
        <v>-0.56194660134673713</v>
      </c>
      <c r="F8" s="26">
        <f>F7/F5</f>
        <v>-0.53017911044999433</v>
      </c>
      <c r="G8" s="24">
        <f>AVERAGE(D8:F8)</f>
        <v>-0.55726685579344515</v>
      </c>
      <c r="H8" s="24">
        <f>G8</f>
        <v>-0.55726685579344515</v>
      </c>
      <c r="I8" s="24">
        <f>H8</f>
        <v>-0.55726685579344515</v>
      </c>
      <c r="J8" s="24">
        <f>I8</f>
        <v>-0.55726685579344515</v>
      </c>
      <c r="K8" s="24">
        <f>J8</f>
        <v>-0.55726685579344515</v>
      </c>
    </row>
    <row r="9" spans="2:11" x14ac:dyDescent="0.3">
      <c r="C9" s="1" t="s">
        <v>3</v>
      </c>
      <c r="D9" s="30">
        <f t="shared" ref="D9:K9" si="2">SUM(D5,D7)</f>
        <v>197478</v>
      </c>
      <c r="E9" s="30">
        <f t="shared" si="2"/>
        <v>225152</v>
      </c>
      <c r="F9" s="30">
        <f t="shared" si="2"/>
        <v>270046</v>
      </c>
      <c r="G9" s="31">
        <f>SUM(G5,G7)</f>
        <v>280950.5925865043</v>
      </c>
      <c r="H9" s="31">
        <f t="shared" si="2"/>
        <v>311427.26208656328</v>
      </c>
      <c r="I9" s="31">
        <f t="shared" si="2"/>
        <v>345209.94840354659</v>
      </c>
      <c r="J9" s="31">
        <f t="shared" si="2"/>
        <v>382657.27823036647</v>
      </c>
      <c r="K9" s="31">
        <f t="shared" si="2"/>
        <v>424166.78099757724</v>
      </c>
    </row>
    <row r="10" spans="2:11" x14ac:dyDescent="0.3">
      <c r="C10" t="s">
        <v>4</v>
      </c>
      <c r="D10" s="21"/>
      <c r="E10" s="21"/>
      <c r="F10" s="21"/>
    </row>
    <row r="11" spans="2:11" x14ac:dyDescent="0.3">
      <c r="C11" t="s">
        <v>98</v>
      </c>
      <c r="D11" s="22">
        <v>-75111</v>
      </c>
      <c r="E11" s="22">
        <v>-84299</v>
      </c>
      <c r="F11" s="22">
        <v>-90619</v>
      </c>
      <c r="G11" s="29">
        <f>G5*G12</f>
        <v>-101858.83892598389</v>
      </c>
      <c r="H11" s="29">
        <f>H5*H12</f>
        <v>-112908.17732042469</v>
      </c>
      <c r="I11" s="29">
        <f>I5*I12</f>
        <v>-125156.11448392841</v>
      </c>
      <c r="J11" s="29">
        <f>J5*J12</f>
        <v>-138732.67078132724</v>
      </c>
      <c r="K11" s="29">
        <f>K5*K12</f>
        <v>-153781.97079289841</v>
      </c>
    </row>
    <row r="12" spans="2:11" x14ac:dyDescent="0.3">
      <c r="C12" s="19" t="s">
        <v>99</v>
      </c>
      <c r="D12" s="26">
        <f>D11/D5</f>
        <v>-0.15987118525739535</v>
      </c>
      <c r="E12" s="26">
        <f>E11/E5</f>
        <v>-0.16401126107283703</v>
      </c>
      <c r="F12" s="26">
        <f>F11/F5</f>
        <v>-0.1576572109571405</v>
      </c>
      <c r="G12" s="24">
        <f>AVERAGE(D12:F12)</f>
        <v>-0.16051321909579097</v>
      </c>
      <c r="H12" s="24">
        <f>G12</f>
        <v>-0.16051321909579097</v>
      </c>
      <c r="I12" s="24">
        <f>H12</f>
        <v>-0.16051321909579097</v>
      </c>
      <c r="J12" s="24">
        <f t="shared" ref="J12:K12" si="3">I12</f>
        <v>-0.16051321909579097</v>
      </c>
      <c r="K12" s="24">
        <f t="shared" si="3"/>
        <v>-0.16051321909579097</v>
      </c>
    </row>
    <row r="13" spans="2:11" x14ac:dyDescent="0.3">
      <c r="C13" t="s">
        <v>100</v>
      </c>
      <c r="D13" s="22">
        <v>-56052</v>
      </c>
      <c r="E13" s="22">
        <v>-73213</v>
      </c>
      <c r="F13" s="22">
        <v>-85622</v>
      </c>
      <c r="G13" s="32">
        <f>G5*G14</f>
        <v>-86876.580676769358</v>
      </c>
      <c r="H13" s="32">
        <f>H5*H14</f>
        <v>-96300.689066097242</v>
      </c>
      <c r="I13" s="32">
        <f>I5*I14</f>
        <v>-106747.09619510778</v>
      </c>
      <c r="J13" s="32">
        <f>J5*J14</f>
        <v>-118326.69793532343</v>
      </c>
      <c r="K13" s="32">
        <f>K5*K14</f>
        <v>-131162.41980659097</v>
      </c>
    </row>
    <row r="14" spans="2:11" x14ac:dyDescent="0.3">
      <c r="C14" s="19" t="s">
        <v>99</v>
      </c>
      <c r="D14" s="26">
        <f>D13/D5</f>
        <v>-0.11930475797216818</v>
      </c>
      <c r="E14" s="26">
        <f>E13/E5</f>
        <v>-0.14244245432241923</v>
      </c>
      <c r="F14" s="26">
        <f>F13/F5</f>
        <v>-0.14896352549214054</v>
      </c>
      <c r="G14" s="24">
        <f>AVERAGE(D14:F14)</f>
        <v>-0.13690357926224264</v>
      </c>
      <c r="H14" s="24">
        <f>G14</f>
        <v>-0.13690357926224264</v>
      </c>
      <c r="I14" s="24">
        <f t="shared" ref="I14:K14" si="4">H14</f>
        <v>-0.13690357926224264</v>
      </c>
      <c r="J14" s="24">
        <f t="shared" si="4"/>
        <v>-0.13690357926224264</v>
      </c>
      <c r="K14" s="24">
        <f t="shared" si="4"/>
        <v>-0.13690357926224264</v>
      </c>
    </row>
    <row r="15" spans="2:11" x14ac:dyDescent="0.3">
      <c r="C15" s="19" t="s">
        <v>101</v>
      </c>
      <c r="D15" s="22">
        <v>-32551</v>
      </c>
      <c r="E15" s="22">
        <v>-42238</v>
      </c>
      <c r="F15" s="22">
        <v>-44370</v>
      </c>
      <c r="G15" s="32">
        <f>G5*G16</f>
        <v>-48366.924322581959</v>
      </c>
      <c r="H15" s="32">
        <f>H5*H16</f>
        <v>-53613.621806801835</v>
      </c>
      <c r="I15" s="32">
        <f>I5*I16</f>
        <v>-59429.465145889866</v>
      </c>
      <c r="J15" s="32">
        <f>J5*J16</f>
        <v>-65876.193558676168</v>
      </c>
      <c r="K15" s="32">
        <f>K5*K16</f>
        <v>-73022.24354748879</v>
      </c>
    </row>
    <row r="16" spans="2:11" x14ac:dyDescent="0.3">
      <c r="C16" s="19" t="s">
        <v>99</v>
      </c>
      <c r="D16" s="26">
        <f>D15/D5</f>
        <v>-6.9283686161993263E-2</v>
      </c>
      <c r="E16" s="23">
        <f>E15/E5</f>
        <v>-8.2177815219569517E-2</v>
      </c>
      <c r="F16" s="23">
        <f>F15/F5</f>
        <v>-7.7194081265168718E-2</v>
      </c>
      <c r="G16" s="24">
        <f>AVERAGE(D16:F16)</f>
        <v>-7.6218527548910495E-2</v>
      </c>
      <c r="H16" s="24">
        <f>G16</f>
        <v>-7.6218527548910495E-2</v>
      </c>
      <c r="I16" s="24">
        <f t="shared" ref="I16:K16" si="5">H16</f>
        <v>-7.6218527548910495E-2</v>
      </c>
      <c r="J16" s="24">
        <f t="shared" si="5"/>
        <v>-7.6218527548910495E-2</v>
      </c>
      <c r="K16" s="24">
        <f t="shared" si="5"/>
        <v>-7.6218527548910495E-2</v>
      </c>
    </row>
    <row r="17" spans="2:14" x14ac:dyDescent="0.3">
      <c r="C17" s="19" t="s">
        <v>102</v>
      </c>
      <c r="D17" s="22">
        <v>-8823</v>
      </c>
      <c r="E17" s="22">
        <v>-11891</v>
      </c>
      <c r="F17" s="22">
        <v>-11816</v>
      </c>
      <c r="G17" s="32">
        <f>G5*G18</f>
        <v>-13214.479516559359</v>
      </c>
      <c r="H17" s="32">
        <f>H5*H18</f>
        <v>-14647.946237998924</v>
      </c>
      <c r="I17" s="32">
        <f>I5*I18</f>
        <v>-16236.911088509689</v>
      </c>
      <c r="J17" s="32">
        <f>J5*J18</f>
        <v>-17998.242034248808</v>
      </c>
      <c r="K17" s="32">
        <f>K5*K18</f>
        <v>-19950.636827262035</v>
      </c>
    </row>
    <row r="18" spans="2:14" x14ac:dyDescent="0.3">
      <c r="C18" s="19" t="s">
        <v>99</v>
      </c>
      <c r="D18" s="26">
        <f>D17/D5</f>
        <v>-1.8779452643767215E-2</v>
      </c>
      <c r="E18" s="26">
        <f>E17/E5</f>
        <v>-2.3135006410717866E-2</v>
      </c>
      <c r="F18" s="26">
        <f>F17/F5</f>
        <v>-2.0557251841993092E-2</v>
      </c>
      <c r="G18" s="24">
        <f>AVERAGE(D18:F18)</f>
        <v>-2.0823903632159392E-2</v>
      </c>
      <c r="H18" s="24">
        <f>G18</f>
        <v>-2.0823903632159392E-2</v>
      </c>
      <c r="I18" s="24">
        <f t="shared" ref="I18:K18" si="6">H18</f>
        <v>-2.0823903632159392E-2</v>
      </c>
      <c r="J18" s="24">
        <f t="shared" si="6"/>
        <v>-2.0823903632159392E-2</v>
      </c>
      <c r="K18" s="24">
        <f t="shared" si="6"/>
        <v>-2.0823903632159392E-2</v>
      </c>
    </row>
    <row r="19" spans="2:14" x14ac:dyDescent="0.3">
      <c r="C19" t="s">
        <v>103</v>
      </c>
      <c r="D19" s="22">
        <v>-62</v>
      </c>
      <c r="E19" s="22">
        <v>-1263</v>
      </c>
      <c r="F19" s="22">
        <v>-762</v>
      </c>
      <c r="G19" s="32">
        <f>G5*G20</f>
        <v>-828.12087788503197</v>
      </c>
      <c r="H19" s="32">
        <f>H5*H20</f>
        <v>-917.9529229754155</v>
      </c>
      <c r="I19" s="32">
        <f>I5*I20</f>
        <v>-1017.5296762848824</v>
      </c>
      <c r="J19" s="32">
        <f>J5*J20</f>
        <v>-1127.9082142517964</v>
      </c>
      <c r="K19" s="32">
        <f>K5*K20</f>
        <v>-1250.2602817654811</v>
      </c>
    </row>
    <row r="20" spans="2:14" x14ac:dyDescent="0.3">
      <c r="C20" s="19" t="s">
        <v>99</v>
      </c>
      <c r="D20" s="25">
        <f>D19/D5</f>
        <v>-1.3196487180251244E-4</v>
      </c>
      <c r="E20" s="25">
        <f>E19/E5</f>
        <v>-2.4572797154769712E-3</v>
      </c>
      <c r="F20" s="25">
        <f>F19/F5</f>
        <v>-1.3257130927216264E-3</v>
      </c>
      <c r="G20" s="33">
        <f>AVERAGE(D20:F20)</f>
        <v>-1.3049858933337035E-3</v>
      </c>
      <c r="H20" s="33">
        <f>G20</f>
        <v>-1.3049858933337035E-3</v>
      </c>
      <c r="I20" s="33">
        <f t="shared" ref="I20:K20" si="7">H20</f>
        <v>-1.3049858933337035E-3</v>
      </c>
      <c r="J20" s="33">
        <f t="shared" si="7"/>
        <v>-1.3049858933337035E-3</v>
      </c>
      <c r="K20" s="33">
        <f t="shared" si="7"/>
        <v>-1.3049858933337035E-3</v>
      </c>
    </row>
    <row r="21" spans="2:14" x14ac:dyDescent="0.3">
      <c r="C21" s="20" t="s">
        <v>104</v>
      </c>
      <c r="D21" s="29">
        <f>SUM(D11,D13,D15,D17,D19)</f>
        <v>-172599</v>
      </c>
      <c r="E21" s="29">
        <f t="shared" ref="E21:K21" si="8">SUM(E11,E13,E15,E17,E19)</f>
        <v>-212904</v>
      </c>
      <c r="F21" s="29">
        <f>SUM(F11,F13,F15,F17,F19)</f>
        <v>-233189</v>
      </c>
      <c r="G21" s="29">
        <f>SUM(G11,G13,G15,G17,G19)</f>
        <v>-251144.94431977961</v>
      </c>
      <c r="H21" s="29">
        <f>SUM(H11,H13,H15,H17,H19)</f>
        <v>-278388.38735429809</v>
      </c>
      <c r="I21" s="29">
        <f t="shared" si="8"/>
        <v>-308587.11658972059</v>
      </c>
      <c r="J21" s="29">
        <f t="shared" si="8"/>
        <v>-342061.71252382745</v>
      </c>
      <c r="K21" s="29">
        <f t="shared" si="8"/>
        <v>-379167.53125600569</v>
      </c>
    </row>
    <row r="22" spans="2:14" x14ac:dyDescent="0.3">
      <c r="C22" s="1" t="s">
        <v>5</v>
      </c>
      <c r="D22" s="29">
        <f>SUM(D24,D23)</f>
        <v>59312</v>
      </c>
      <c r="E22" s="29">
        <f t="shared" ref="E22:F22" si="9">SUM(E24,E23)</f>
        <v>54169</v>
      </c>
      <c r="F22" s="29">
        <f t="shared" si="9"/>
        <v>85520</v>
      </c>
      <c r="G22" s="29">
        <f>SUM(G24,G23)</f>
        <v>83865.494001686253</v>
      </c>
      <c r="H22" s="29">
        <f t="shared" ref="H22" si="10">SUM(H24,H23)</f>
        <v>92200.578750629706</v>
      </c>
      <c r="I22" s="29">
        <f t="shared" ref="I22" si="11">SUM(I24,I23)</f>
        <v>101611.62290105538</v>
      </c>
      <c r="J22" s="29">
        <f t="shared" ref="J22" si="12">SUM(J24,J23)</f>
        <v>112221.55463434182</v>
      </c>
      <c r="K22" s="29">
        <f t="shared" ref="K22" si="13">SUM(K24,K23)</f>
        <v>124055.99439682734</v>
      </c>
    </row>
    <row r="23" spans="2:14" x14ac:dyDescent="0.3">
      <c r="C23" t="s">
        <v>6</v>
      </c>
      <c r="D23" s="34">
        <v>34433</v>
      </c>
      <c r="E23" s="34">
        <v>41921</v>
      </c>
      <c r="F23" s="34">
        <v>48663</v>
      </c>
      <c r="G23" s="32">
        <f>'D&amp;A Schedule'!G14</f>
        <v>54059.845734961564</v>
      </c>
      <c r="H23" s="32">
        <f>'D&amp;A Schedule'!H14</f>
        <v>59161.704018364508</v>
      </c>
      <c r="I23" s="32">
        <f>'D&amp;A Schedule'!I14</f>
        <v>64988.791087229387</v>
      </c>
      <c r="J23" s="32">
        <f>'D&amp;A Schedule'!J14</f>
        <v>71625.988927802799</v>
      </c>
      <c r="K23" s="32">
        <f>'D&amp;A Schedule'!K14</f>
        <v>79056.744655255796</v>
      </c>
    </row>
    <row r="24" spans="2:14" x14ac:dyDescent="0.3">
      <c r="C24" s="1" t="s">
        <v>10</v>
      </c>
      <c r="D24" s="54">
        <f>SUM(D9+D21)</f>
        <v>24879</v>
      </c>
      <c r="E24" s="54">
        <f t="shared" ref="E24:K24" si="14">SUM(E9+E21)</f>
        <v>12248</v>
      </c>
      <c r="F24" s="54">
        <f t="shared" si="14"/>
        <v>36857</v>
      </c>
      <c r="G24" s="54">
        <f>SUM(G9+G21)</f>
        <v>29805.648266724689</v>
      </c>
      <c r="H24" s="54">
        <f t="shared" si="14"/>
        <v>33038.874732265191</v>
      </c>
      <c r="I24" s="54">
        <f t="shared" si="14"/>
        <v>36622.831813825993</v>
      </c>
      <c r="J24" s="54">
        <f t="shared" si="14"/>
        <v>40595.565706539026</v>
      </c>
      <c r="K24" s="54">
        <f t="shared" si="14"/>
        <v>44999.249741571548</v>
      </c>
    </row>
    <row r="25" spans="2:14" x14ac:dyDescent="0.3">
      <c r="C25" t="s">
        <v>106</v>
      </c>
      <c r="D25" s="28">
        <v>-1809</v>
      </c>
      <c r="E25" s="28">
        <v>-2367</v>
      </c>
      <c r="F25" s="28">
        <v>-3182</v>
      </c>
      <c r="G25" s="55">
        <f>'Debt and Interest Schedule '!G11</f>
        <v>-1255.3021166383853</v>
      </c>
      <c r="H25" s="55">
        <f>'Debt and Interest Schedule '!H11</f>
        <v>-1255.3021166383853</v>
      </c>
      <c r="I25" s="55">
        <f>'Debt and Interest Schedule '!I11</f>
        <v>-1255.3021166383853</v>
      </c>
      <c r="J25" s="55">
        <f>'Debt and Interest Schedule '!J11</f>
        <v>-1255.3021166383853</v>
      </c>
      <c r="K25" s="55">
        <f>'Debt and Interest Schedule '!K11</f>
        <v>-1255.3021166383853</v>
      </c>
    </row>
    <row r="26" spans="2:14" x14ac:dyDescent="0.3">
      <c r="C26" t="s">
        <v>107</v>
      </c>
      <c r="D26" s="18">
        <v>448</v>
      </c>
      <c r="E26" s="18">
        <v>989</v>
      </c>
      <c r="F26" s="35">
        <v>2949</v>
      </c>
      <c r="G26" s="55">
        <f ca="1">'Debt and Interest Schedule '!G12</f>
        <v>446.81664931162464</v>
      </c>
      <c r="H26" s="55">
        <f ca="1">'Debt and Interest Schedule '!H12</f>
        <v>519.80022449229966</v>
      </c>
      <c r="I26" s="55">
        <f ca="1">'Debt and Interest Schedule '!I12</f>
        <v>611.97731083165888</v>
      </c>
      <c r="J26" s="55">
        <f ca="1">'Debt and Interest Schedule '!J12</f>
        <v>685.72467343985863</v>
      </c>
      <c r="K26" s="55">
        <f ca="1">'Debt and Interest Schedule '!K12</f>
        <v>804.9529621684178</v>
      </c>
    </row>
    <row r="27" spans="2:14" x14ac:dyDescent="0.3">
      <c r="C27" t="s">
        <v>108</v>
      </c>
      <c r="D27" s="28">
        <v>14633</v>
      </c>
      <c r="E27" s="28">
        <v>-16806</v>
      </c>
      <c r="F27" s="28">
        <v>938</v>
      </c>
      <c r="G27" s="55">
        <v>0</v>
      </c>
      <c r="H27" s="55">
        <v>0</v>
      </c>
      <c r="I27" s="55">
        <v>0</v>
      </c>
      <c r="J27" s="55">
        <v>0</v>
      </c>
      <c r="K27" s="55">
        <v>0</v>
      </c>
    </row>
    <row r="28" spans="2:14" x14ac:dyDescent="0.3">
      <c r="C28" s="1" t="s">
        <v>11</v>
      </c>
      <c r="D28" s="54">
        <f>SUM(D24,D25,D26,D27)</f>
        <v>38151</v>
      </c>
      <c r="E28" s="54">
        <f t="shared" ref="E28:F28" si="15">SUM(E24,E25,E26,E27)</f>
        <v>-5936</v>
      </c>
      <c r="F28" s="54">
        <f t="shared" si="15"/>
        <v>37562</v>
      </c>
      <c r="G28" s="54">
        <f ca="1">SUM(G24,G25,G26,G27)</f>
        <v>28997.162799397931</v>
      </c>
      <c r="H28" s="54">
        <f ca="1">SUM(H24,H25,H26,H27)</f>
        <v>32303.372840119107</v>
      </c>
      <c r="I28" s="54">
        <f ca="1">SUM(I24,I25,I26,I27)</f>
        <v>35979.507008019267</v>
      </c>
      <c r="J28" s="54">
        <f ca="1">SUM(J24,J25,J26,J27)</f>
        <v>40025.9882633405</v>
      </c>
      <c r="K28" s="54">
        <f ca="1">SUM(K24,K25,K26,K27)</f>
        <v>44548.900587101583</v>
      </c>
    </row>
    <row r="29" spans="2:14" x14ac:dyDescent="0.3">
      <c r="C29" t="s">
        <v>8</v>
      </c>
      <c r="D29" s="28">
        <v>-4791</v>
      </c>
      <c r="E29" s="28">
        <v>3217</v>
      </c>
      <c r="F29" s="28">
        <v>-7120</v>
      </c>
      <c r="G29" s="32">
        <f ca="1">G28*Assumption!G8</f>
        <v>6089.4041878735652</v>
      </c>
      <c r="H29" s="32">
        <f ca="1">H28*Assumption!H8</f>
        <v>6783.7082964250121</v>
      </c>
      <c r="I29" s="32">
        <f ca="1">I28*Assumption!I8</f>
        <v>7555.6964716840457</v>
      </c>
      <c r="J29" s="32">
        <f ca="1">J28*Assumption!J8</f>
        <v>8405.4575353015043</v>
      </c>
      <c r="K29" s="32">
        <f ca="1">K28*Assumption!K8</f>
        <v>9355.269123291333</v>
      </c>
      <c r="N29" s="74"/>
    </row>
    <row r="30" spans="2:14" x14ac:dyDescent="0.3">
      <c r="C30" t="s">
        <v>109</v>
      </c>
      <c r="D30" s="28">
        <v>4</v>
      </c>
      <c r="E30" s="28">
        <v>-3</v>
      </c>
      <c r="F30" s="28">
        <v>-12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</row>
    <row r="31" spans="2:14" x14ac:dyDescent="0.3">
      <c r="B31" t="s">
        <v>14</v>
      </c>
      <c r="C31" s="1" t="s">
        <v>9</v>
      </c>
      <c r="D31" s="29">
        <f>SUM(D28,D29,D30)</f>
        <v>33364</v>
      </c>
      <c r="E31" s="29">
        <f t="shared" ref="E31:F31" si="16">SUM(E28,E29,E30)</f>
        <v>-2722</v>
      </c>
      <c r="F31" s="29">
        <f t="shared" si="16"/>
        <v>30430</v>
      </c>
      <c r="G31" s="29">
        <f ca="1">SUM(G28,G29,G30)</f>
        <v>35086.566987271493</v>
      </c>
      <c r="H31" s="29">
        <f ca="1">SUM(H28,H29,H30)</f>
        <v>39087.081136544119</v>
      </c>
      <c r="I31" s="29">
        <f ca="1">SUM(I28,I29,I30)</f>
        <v>43535.203479703312</v>
      </c>
      <c r="J31" s="29">
        <f ca="1">SUM(J28,J29,J30)</f>
        <v>48431.445798642002</v>
      </c>
      <c r="K31" s="29">
        <f ca="1">SUM(K28,K29,K30)</f>
        <v>53904.169710392918</v>
      </c>
    </row>
    <row r="34" spans="2:11" x14ac:dyDescent="0.3">
      <c r="B34" t="s">
        <v>14</v>
      </c>
      <c r="C34" s="7" t="s">
        <v>13</v>
      </c>
      <c r="D34" s="105" t="s">
        <v>26</v>
      </c>
      <c r="E34" s="105"/>
      <c r="F34" s="105"/>
      <c r="G34" s="105"/>
      <c r="H34" s="105"/>
      <c r="I34" s="105"/>
      <c r="J34" s="105"/>
      <c r="K34" s="105"/>
    </row>
    <row r="35" spans="2:11" x14ac:dyDescent="0.3">
      <c r="C35" s="1" t="s">
        <v>15</v>
      </c>
      <c r="D35" s="3">
        <f>D4</f>
        <v>2021</v>
      </c>
      <c r="E35" s="3">
        <f t="shared" ref="E35:K35" si="17">D35+1</f>
        <v>2022</v>
      </c>
      <c r="F35" s="3">
        <f t="shared" si="17"/>
        <v>2023</v>
      </c>
      <c r="G35" s="2">
        <f t="shared" si="17"/>
        <v>2024</v>
      </c>
      <c r="H35" s="2">
        <f t="shared" si="17"/>
        <v>2025</v>
      </c>
      <c r="I35" s="2">
        <f t="shared" si="17"/>
        <v>2026</v>
      </c>
      <c r="J35" s="2">
        <f t="shared" si="17"/>
        <v>2027</v>
      </c>
      <c r="K35" s="2">
        <f t="shared" si="17"/>
        <v>2028</v>
      </c>
    </row>
    <row r="36" spans="2:11" x14ac:dyDescent="0.3">
      <c r="C36" t="s">
        <v>16</v>
      </c>
    </row>
    <row r="37" spans="2:11" x14ac:dyDescent="0.3">
      <c r="C37" s="5" t="s">
        <v>17</v>
      </c>
      <c r="D37" s="35">
        <v>36220</v>
      </c>
      <c r="E37" s="35">
        <v>53888</v>
      </c>
      <c r="F37" s="35">
        <v>73387</v>
      </c>
      <c r="G37" s="32">
        <f ca="1">G106</f>
        <v>89363.329862324928</v>
      </c>
      <c r="H37" s="32">
        <f ca="1">H106</f>
        <v>103960.04489845994</v>
      </c>
      <c r="I37" s="32">
        <f ca="1">I106</f>
        <v>122395.46216633178</v>
      </c>
      <c r="J37" s="32">
        <f ca="1">J106</f>
        <v>137144.93468797172</v>
      </c>
      <c r="K37" s="32">
        <f ca="1">K106</f>
        <v>160990.59243368355</v>
      </c>
    </row>
    <row r="38" spans="2:11" x14ac:dyDescent="0.3">
      <c r="C38" s="5" t="s">
        <v>115</v>
      </c>
      <c r="D38" s="35">
        <v>59829</v>
      </c>
      <c r="E38" s="35">
        <v>16138</v>
      </c>
      <c r="F38" s="35">
        <v>13393</v>
      </c>
      <c r="G38" s="34">
        <f>F38</f>
        <v>13393</v>
      </c>
      <c r="H38" s="34">
        <f t="shared" ref="H38:K38" si="18">G38</f>
        <v>13393</v>
      </c>
      <c r="I38" s="34">
        <f t="shared" si="18"/>
        <v>13393</v>
      </c>
      <c r="J38" s="34">
        <f t="shared" si="18"/>
        <v>13393</v>
      </c>
      <c r="K38" s="34">
        <f t="shared" si="18"/>
        <v>13393</v>
      </c>
    </row>
    <row r="39" spans="2:11" x14ac:dyDescent="0.3">
      <c r="C39" s="5" t="s">
        <v>18</v>
      </c>
      <c r="D39" s="35">
        <v>32640</v>
      </c>
      <c r="E39" s="35">
        <v>42360</v>
      </c>
      <c r="F39" s="35">
        <v>52253</v>
      </c>
      <c r="G39" s="32">
        <f>'Working Cap Schedule'!G9</f>
        <v>49263.431806126035</v>
      </c>
      <c r="H39" s="32">
        <f>'Working Cap Schedule'!H9</f>
        <v>54607.379707327651</v>
      </c>
      <c r="I39" s="32">
        <f>'Working Cap Schedule'!I9</f>
        <v>60531.022894134709</v>
      </c>
      <c r="J39" s="32">
        <f>'Working Cap Schedule'!J9</f>
        <v>67097.244955677597</v>
      </c>
      <c r="K39" s="32">
        <f>'Working Cap Schedule'!K9</f>
        <v>74375.750902409374</v>
      </c>
    </row>
    <row r="40" spans="2:11" x14ac:dyDescent="0.3">
      <c r="C40" s="5" t="s">
        <v>19</v>
      </c>
      <c r="D40" s="35">
        <v>32891</v>
      </c>
      <c r="E40" s="35">
        <v>34405</v>
      </c>
      <c r="F40" s="35">
        <v>33318</v>
      </c>
      <c r="G40" s="32">
        <f>'Working Cap Schedule'!G10</f>
        <v>40245.68468269705</v>
      </c>
      <c r="H40" s="32">
        <f>'Working Cap Schedule'!H10</f>
        <v>44611.414683784307</v>
      </c>
      <c r="I40" s="32">
        <f>'Working Cap Schedule'!I10</f>
        <v>49450.725854943885</v>
      </c>
      <c r="J40" s="32">
        <f>'Working Cap Schedule'!J10</f>
        <v>54814.990847391331</v>
      </c>
      <c r="K40" s="32">
        <f>'Working Cap Schedule'!K10</f>
        <v>60761.15506197769</v>
      </c>
    </row>
    <row r="41" spans="2:11" x14ac:dyDescent="0.3">
      <c r="C41" s="5" t="s">
        <v>20</v>
      </c>
      <c r="D41" s="18"/>
      <c r="E41" s="18"/>
      <c r="F41" s="18"/>
    </row>
    <row r="42" spans="2:11" x14ac:dyDescent="0.3">
      <c r="C42" s="6" t="s">
        <v>21</v>
      </c>
      <c r="D42" s="18">
        <f t="shared" ref="D42:F42" si="19">SUM(D37:D41)</f>
        <v>161580</v>
      </c>
      <c r="E42" s="18">
        <f t="shared" si="19"/>
        <v>146791</v>
      </c>
      <c r="F42" s="18">
        <f t="shared" si="19"/>
        <v>172351</v>
      </c>
      <c r="G42" s="32">
        <f ca="1">SUM(G37:G41)</f>
        <v>192265.44635114801</v>
      </c>
      <c r="H42" s="32">
        <f ca="1">SUM(H37:H41)</f>
        <v>216571.83928957189</v>
      </c>
      <c r="I42" s="32">
        <f ca="1">SUM(I37:I41)</f>
        <v>245770.21091541037</v>
      </c>
      <c r="J42" s="32">
        <f ca="1">SUM(J37:J41)</f>
        <v>272450.17049104063</v>
      </c>
      <c r="K42" s="32">
        <f ca="1">SUM(K37:K41)</f>
        <v>309520.49839807063</v>
      </c>
    </row>
    <row r="43" spans="2:11" x14ac:dyDescent="0.3">
      <c r="D43" s="18"/>
      <c r="E43" s="18"/>
      <c r="F43" s="18"/>
    </row>
    <row r="44" spans="2:11" x14ac:dyDescent="0.3">
      <c r="B44" t="s">
        <v>14</v>
      </c>
      <c r="C44" t="s">
        <v>22</v>
      </c>
      <c r="D44" s="18"/>
      <c r="E44" s="18"/>
      <c r="F44" s="18"/>
    </row>
    <row r="45" spans="2:11" x14ac:dyDescent="0.3">
      <c r="C45" s="5" t="s">
        <v>23</v>
      </c>
      <c r="D45" s="35">
        <v>160281</v>
      </c>
      <c r="E45" s="35">
        <v>186715</v>
      </c>
      <c r="F45" s="35">
        <v>204177</v>
      </c>
      <c r="G45" s="34">
        <f>'D&amp;A Schedule'!G12</f>
        <v>223202.66360879352</v>
      </c>
      <c r="H45" s="34">
        <f>'D&amp;A Schedule'!H12</f>
        <v>245054.56366787749</v>
      </c>
      <c r="I45" s="34">
        <f>'D&amp;A Schedule'!I12</f>
        <v>269867.48710038664</v>
      </c>
      <c r="J45" s="34">
        <f>'D&amp;A Schedule'!J12</f>
        <v>297784.63074295002</v>
      </c>
      <c r="K45" s="34">
        <f>'D&amp;A Schedule'!K12</f>
        <v>329069.15623954113</v>
      </c>
    </row>
    <row r="46" spans="2:11" x14ac:dyDescent="0.3">
      <c r="C46" s="5" t="s">
        <v>24</v>
      </c>
      <c r="D46" s="35">
        <v>56082</v>
      </c>
      <c r="E46" s="35">
        <v>20288</v>
      </c>
      <c r="F46" s="35">
        <v>22789</v>
      </c>
      <c r="G46" s="34">
        <f>F46</f>
        <v>22789</v>
      </c>
      <c r="H46" s="34">
        <f t="shared" ref="H46:K46" si="20">G46</f>
        <v>22789</v>
      </c>
      <c r="I46" s="34">
        <f t="shared" si="20"/>
        <v>22789</v>
      </c>
      <c r="J46" s="34">
        <f t="shared" si="20"/>
        <v>22789</v>
      </c>
      <c r="K46" s="34">
        <f t="shared" si="20"/>
        <v>22789</v>
      </c>
    </row>
    <row r="47" spans="2:11" x14ac:dyDescent="0.3">
      <c r="C47" s="5" t="s">
        <v>116</v>
      </c>
      <c r="D47" s="35">
        <v>15371</v>
      </c>
      <c r="E47" s="35">
        <v>66123</v>
      </c>
      <c r="F47" s="35">
        <v>72513</v>
      </c>
      <c r="G47" s="34">
        <f>F47</f>
        <v>72513</v>
      </c>
      <c r="H47" s="34">
        <f t="shared" ref="H47:K47" si="21">G47</f>
        <v>72513</v>
      </c>
      <c r="I47" s="34">
        <f t="shared" si="21"/>
        <v>72513</v>
      </c>
      <c r="J47" s="34">
        <f t="shared" si="21"/>
        <v>72513</v>
      </c>
      <c r="K47" s="34">
        <f t="shared" si="21"/>
        <v>72513</v>
      </c>
    </row>
    <row r="48" spans="2:11" x14ac:dyDescent="0.3">
      <c r="C48" s="5" t="s">
        <v>204</v>
      </c>
      <c r="D48" s="35">
        <v>27235</v>
      </c>
      <c r="E48" s="35">
        <v>42758</v>
      </c>
      <c r="F48" s="35">
        <v>56024</v>
      </c>
      <c r="G48" s="34">
        <f>F48</f>
        <v>56024</v>
      </c>
      <c r="H48" s="34">
        <f t="shared" ref="H48:K48" si="22">G48</f>
        <v>56024</v>
      </c>
      <c r="I48" s="34">
        <f t="shared" si="22"/>
        <v>56024</v>
      </c>
      <c r="J48" s="34">
        <f t="shared" si="22"/>
        <v>56024</v>
      </c>
      <c r="K48" s="34">
        <f t="shared" si="22"/>
        <v>56024</v>
      </c>
    </row>
    <row r="49" spans="2:11" x14ac:dyDescent="0.3">
      <c r="C49" s="5" t="s">
        <v>208</v>
      </c>
      <c r="D49" s="84"/>
      <c r="E49" s="84"/>
      <c r="F49" s="84"/>
      <c r="G49" s="34">
        <f>'D&amp;A Schedule'!G25</f>
        <v>6972</v>
      </c>
      <c r="H49" s="34">
        <f>'D&amp;A Schedule'!H25</f>
        <v>6341</v>
      </c>
      <c r="I49" s="34">
        <f>'D&amp;A Schedule'!I25</f>
        <v>5778</v>
      </c>
      <c r="J49" s="34">
        <f>'D&amp;A Schedule'!J25</f>
        <v>5226</v>
      </c>
      <c r="K49" s="34">
        <f>'D&amp;A Schedule'!K25</f>
        <v>4692</v>
      </c>
    </row>
    <row r="50" spans="2:11" x14ac:dyDescent="0.3">
      <c r="C50" s="6" t="s">
        <v>34</v>
      </c>
      <c r="D50" s="18">
        <f t="shared" ref="D50:K50" si="23">SUM(D44:D48)</f>
        <v>258969</v>
      </c>
      <c r="E50" s="18">
        <f t="shared" si="23"/>
        <v>315884</v>
      </c>
      <c r="F50" s="18">
        <f t="shared" si="23"/>
        <v>355503</v>
      </c>
      <c r="G50" s="34">
        <f>SUM(G45:G48)</f>
        <v>374528.66360879352</v>
      </c>
      <c r="H50" s="32">
        <f t="shared" si="23"/>
        <v>396380.56366787746</v>
      </c>
      <c r="I50" s="32">
        <f t="shared" si="23"/>
        <v>421193.48710038664</v>
      </c>
      <c r="J50" s="32">
        <f t="shared" si="23"/>
        <v>449110.63074295002</v>
      </c>
      <c r="K50" s="32">
        <f t="shared" si="23"/>
        <v>480395.15623954113</v>
      </c>
    </row>
    <row r="52" spans="2:11" ht="15" thickBot="1" x14ac:dyDescent="0.35">
      <c r="B52" t="s">
        <v>14</v>
      </c>
      <c r="C52" s="1" t="s">
        <v>25</v>
      </c>
      <c r="D52" s="8">
        <f t="shared" ref="D52:F52" si="24">SUM(D42,D50)</f>
        <v>420549</v>
      </c>
      <c r="E52" s="8">
        <f t="shared" si="24"/>
        <v>462675</v>
      </c>
      <c r="F52" s="8">
        <f t="shared" si="24"/>
        <v>527854</v>
      </c>
      <c r="G52" s="56">
        <f ca="1">SUM(G42,G50)</f>
        <v>566794.10995994159</v>
      </c>
      <c r="H52" s="56">
        <f ca="1">SUM(H42,H50)</f>
        <v>612952.40295744932</v>
      </c>
      <c r="I52" s="56">
        <f ca="1">SUM(I42,I50)</f>
        <v>666963.69801579695</v>
      </c>
      <c r="J52" s="56">
        <f ca="1">SUM(J42,J50)</f>
        <v>721560.80123399058</v>
      </c>
      <c r="K52" s="56">
        <f ca="1">SUM(K42,K50)</f>
        <v>789915.6546376117</v>
      </c>
    </row>
    <row r="53" spans="2:11" ht="15" thickTop="1" x14ac:dyDescent="0.3"/>
    <row r="54" spans="2:11" x14ac:dyDescent="0.3">
      <c r="C54" s="1" t="s">
        <v>27</v>
      </c>
      <c r="D54" s="3">
        <f>D35</f>
        <v>2021</v>
      </c>
      <c r="E54" s="3">
        <f t="shared" ref="E54:K54" si="25">D54+1</f>
        <v>2022</v>
      </c>
      <c r="F54" s="3">
        <f t="shared" si="25"/>
        <v>2023</v>
      </c>
      <c r="G54" s="2">
        <f t="shared" si="25"/>
        <v>2024</v>
      </c>
      <c r="H54" s="2">
        <f t="shared" si="25"/>
        <v>2025</v>
      </c>
      <c r="I54" s="2">
        <f t="shared" si="25"/>
        <v>2026</v>
      </c>
      <c r="J54" s="2">
        <f t="shared" si="25"/>
        <v>2027</v>
      </c>
      <c r="K54" s="2">
        <f t="shared" si="25"/>
        <v>2028</v>
      </c>
    </row>
    <row r="55" spans="2:11" x14ac:dyDescent="0.3">
      <c r="C55" t="s">
        <v>28</v>
      </c>
    </row>
    <row r="56" spans="2:11" x14ac:dyDescent="0.3">
      <c r="C56" s="5" t="s">
        <v>29</v>
      </c>
      <c r="D56" s="34">
        <v>78664</v>
      </c>
      <c r="E56" s="34">
        <v>79600</v>
      </c>
      <c r="F56" s="34">
        <v>84981</v>
      </c>
      <c r="G56" s="32">
        <f>'Working Cap Schedule'!G15</f>
        <v>96189.464382430218</v>
      </c>
      <c r="H56" s="32">
        <f>'Working Cap Schedule'!H15</f>
        <v>106623.80619457076</v>
      </c>
      <c r="I56" s="32">
        <f>'Working Cap Schedule'!I15</f>
        <v>118190.03380887896</v>
      </c>
      <c r="J56" s="32">
        <f>'Working Cap Schedule'!J15</f>
        <v>131010.93076956055</v>
      </c>
      <c r="K56" s="32">
        <f>'Working Cap Schedule'!K15</f>
        <v>145222.5998078796</v>
      </c>
    </row>
    <row r="57" spans="2:11" x14ac:dyDescent="0.3">
      <c r="C57" s="5" t="s">
        <v>201</v>
      </c>
      <c r="D57" s="34">
        <v>0</v>
      </c>
      <c r="E57" s="34">
        <v>0</v>
      </c>
      <c r="F57" s="34">
        <v>0</v>
      </c>
      <c r="G57" s="32">
        <f ca="1">'Debt and Interest Schedule '!H29</f>
        <v>0</v>
      </c>
      <c r="H57" s="32">
        <f ca="1">'Debt and Interest Schedule '!I29</f>
        <v>0</v>
      </c>
      <c r="I57" s="32">
        <f ca="1">'Debt and Interest Schedule '!J29</f>
        <v>0</v>
      </c>
      <c r="J57" s="32">
        <f ca="1">'Debt and Interest Schedule '!K29</f>
        <v>0</v>
      </c>
      <c r="K57" s="32">
        <f>'Debt and Interest Schedule '!L29</f>
        <v>0</v>
      </c>
    </row>
    <row r="58" spans="2:11" x14ac:dyDescent="0.3">
      <c r="C58" t="s">
        <v>128</v>
      </c>
      <c r="D58" s="34">
        <v>51775</v>
      </c>
      <c r="E58" s="34">
        <v>62566</v>
      </c>
      <c r="F58" s="34">
        <v>64709</v>
      </c>
      <c r="G58" s="34">
        <f>F58</f>
        <v>64709</v>
      </c>
      <c r="H58" s="34">
        <f t="shared" ref="H58:K58" si="26">G58</f>
        <v>64709</v>
      </c>
      <c r="I58" s="34">
        <f t="shared" si="26"/>
        <v>64709</v>
      </c>
      <c r="J58" s="34">
        <f t="shared" si="26"/>
        <v>64709</v>
      </c>
      <c r="K58" s="34">
        <f t="shared" si="26"/>
        <v>64709</v>
      </c>
    </row>
    <row r="59" spans="2:11" x14ac:dyDescent="0.3">
      <c r="C59" t="s">
        <v>129</v>
      </c>
      <c r="D59" s="34">
        <v>11827</v>
      </c>
      <c r="E59" s="34">
        <v>13227</v>
      </c>
      <c r="F59" s="34">
        <v>15227</v>
      </c>
      <c r="G59" s="32">
        <f>'Working Cap Schedule'!G17</f>
        <v>16372.078590239835</v>
      </c>
      <c r="H59" s="32">
        <f>'Working Cap Schedule'!H17</f>
        <v>18294.948639063026</v>
      </c>
      <c r="I59" s="32">
        <f>'Working Cap Schedule'!I17</f>
        <v>20350.812603399103</v>
      </c>
      <c r="J59" s="32">
        <f>'Working Cap Schedule'!J17</f>
        <v>22445.573062269192</v>
      </c>
      <c r="K59" s="32">
        <f>'Working Cap Schedule'!K17</f>
        <v>24934.587717178325</v>
      </c>
    </row>
    <row r="60" spans="2:11" x14ac:dyDescent="0.3">
      <c r="C60" s="6" t="s">
        <v>30</v>
      </c>
      <c r="D60" s="1">
        <f t="shared" ref="D60:K60" si="27">SUM(D56:D59)</f>
        <v>142266</v>
      </c>
      <c r="E60" s="1">
        <f t="shared" ref="E60:J60" si="28">SUM(E56:E59)</f>
        <v>155393</v>
      </c>
      <c r="F60" s="1">
        <f t="shared" si="28"/>
        <v>164917</v>
      </c>
      <c r="G60" s="31">
        <f t="shared" ca="1" si="28"/>
        <v>177270.54297267005</v>
      </c>
      <c r="H60" s="31">
        <f t="shared" ca="1" si="28"/>
        <v>189627.75483363378</v>
      </c>
      <c r="I60" s="31">
        <f t="shared" ca="1" si="28"/>
        <v>203249.84641227807</v>
      </c>
      <c r="J60" s="31">
        <f t="shared" ca="1" si="28"/>
        <v>218165.50383182976</v>
      </c>
      <c r="K60" s="31">
        <f t="shared" si="27"/>
        <v>234866.18752505793</v>
      </c>
    </row>
    <row r="62" spans="2:11" x14ac:dyDescent="0.3">
      <c r="C62" s="1" t="s">
        <v>31</v>
      </c>
    </row>
    <row r="63" spans="2:11" x14ac:dyDescent="0.3">
      <c r="C63" t="s">
        <v>147</v>
      </c>
      <c r="D63" s="34">
        <v>67651</v>
      </c>
      <c r="E63" s="34">
        <v>72968</v>
      </c>
      <c r="F63" s="34">
        <v>77297</v>
      </c>
      <c r="G63" s="34">
        <f>F63</f>
        <v>77297</v>
      </c>
      <c r="H63" s="34">
        <f t="shared" ref="H63:K63" si="29">G63</f>
        <v>77297</v>
      </c>
      <c r="I63" s="34">
        <f t="shared" si="29"/>
        <v>77297</v>
      </c>
      <c r="J63" s="34">
        <f t="shared" si="29"/>
        <v>77297</v>
      </c>
      <c r="K63" s="34">
        <f t="shared" si="29"/>
        <v>77297</v>
      </c>
    </row>
    <row r="64" spans="2:11" x14ac:dyDescent="0.3">
      <c r="C64" s="5" t="s">
        <v>32</v>
      </c>
      <c r="D64" s="34">
        <v>48744</v>
      </c>
      <c r="E64" s="34">
        <v>67150</v>
      </c>
      <c r="F64" s="34">
        <v>58314</v>
      </c>
      <c r="G64" s="34">
        <f>'Debt and Interest Schedule '!G8</f>
        <v>58314</v>
      </c>
      <c r="H64" s="34">
        <f>'Debt and Interest Schedule '!H8</f>
        <v>58314</v>
      </c>
      <c r="I64" s="34">
        <f>'Debt and Interest Schedule '!I8</f>
        <v>58314</v>
      </c>
      <c r="J64" s="34">
        <f>'Debt and Interest Schedule '!J8</f>
        <v>58314</v>
      </c>
      <c r="K64" s="34">
        <f>'Debt and Interest Schedule '!K8</f>
        <v>58314</v>
      </c>
    </row>
    <row r="65" spans="2:11" x14ac:dyDescent="0.3">
      <c r="C65" s="5" t="s">
        <v>33</v>
      </c>
      <c r="D65" s="34">
        <v>23643</v>
      </c>
      <c r="E65" s="34">
        <v>21121</v>
      </c>
      <c r="F65" s="34">
        <v>25451</v>
      </c>
      <c r="G65" s="34">
        <f>F65</f>
        <v>25451</v>
      </c>
      <c r="H65" s="34">
        <f t="shared" ref="H65:K65" si="30">G65</f>
        <v>25451</v>
      </c>
      <c r="I65" s="34">
        <f t="shared" si="30"/>
        <v>25451</v>
      </c>
      <c r="J65" s="34">
        <f t="shared" si="30"/>
        <v>25451</v>
      </c>
      <c r="K65" s="34">
        <f t="shared" si="30"/>
        <v>25451</v>
      </c>
    </row>
    <row r="66" spans="2:11" x14ac:dyDescent="0.3">
      <c r="C66" s="6" t="s">
        <v>35</v>
      </c>
      <c r="D66" s="34">
        <f>SUM(D63:D65)</f>
        <v>140038</v>
      </c>
      <c r="E66" s="34">
        <f>SUM(E63:E65)</f>
        <v>161239</v>
      </c>
      <c r="F66" s="34">
        <f>SUM(F63:F65)</f>
        <v>161062</v>
      </c>
      <c r="G66" s="34">
        <f>SUM(G63:G65)</f>
        <v>161062</v>
      </c>
      <c r="H66" s="34">
        <f t="shared" ref="H66:K66" si="31">SUM(H63:H65)</f>
        <v>161062</v>
      </c>
      <c r="I66" s="34">
        <f t="shared" si="31"/>
        <v>161062</v>
      </c>
      <c r="J66" s="34">
        <f t="shared" si="31"/>
        <v>161062</v>
      </c>
      <c r="K66" s="34">
        <f t="shared" si="31"/>
        <v>161062</v>
      </c>
    </row>
    <row r="67" spans="2:11" x14ac:dyDescent="0.3">
      <c r="C67" s="6"/>
      <c r="D67" s="34"/>
      <c r="E67" s="34"/>
      <c r="F67" s="34"/>
    </row>
    <row r="68" spans="2:11" x14ac:dyDescent="0.3">
      <c r="C68" s="1" t="s">
        <v>37</v>
      </c>
    </row>
    <row r="69" spans="2:11" x14ac:dyDescent="0.3">
      <c r="C69" t="s">
        <v>167</v>
      </c>
      <c r="D69">
        <v>5</v>
      </c>
      <c r="E69">
        <v>108</v>
      </c>
      <c r="F69">
        <v>109</v>
      </c>
      <c r="G69" s="76"/>
      <c r="H69" s="76"/>
      <c r="I69" s="76"/>
      <c r="J69" s="76"/>
      <c r="K69" s="76"/>
    </row>
    <row r="70" spans="2:11" x14ac:dyDescent="0.3">
      <c r="C70" s="19" t="s">
        <v>166</v>
      </c>
      <c r="D70" s="34">
        <v>-1837</v>
      </c>
      <c r="E70" s="34">
        <v>-7837</v>
      </c>
      <c r="F70" s="34">
        <v>-7837</v>
      </c>
      <c r="G70" s="76"/>
      <c r="H70" s="76"/>
      <c r="I70" s="76"/>
      <c r="J70" s="76"/>
      <c r="K70" s="76"/>
    </row>
    <row r="71" spans="2:11" x14ac:dyDescent="0.3">
      <c r="C71" s="52" t="s">
        <v>163</v>
      </c>
      <c r="D71" s="34">
        <v>55538</v>
      </c>
      <c r="E71" s="34">
        <v>75066</v>
      </c>
      <c r="F71" s="34">
        <v>99025</v>
      </c>
      <c r="G71" s="76"/>
      <c r="H71" s="76"/>
      <c r="I71" s="76"/>
      <c r="J71" s="76"/>
      <c r="K71" s="76"/>
    </row>
    <row r="72" spans="2:11" x14ac:dyDescent="0.3">
      <c r="C72" s="52" t="s">
        <v>164</v>
      </c>
      <c r="D72" s="34">
        <v>-1376</v>
      </c>
      <c r="E72" s="34">
        <v>-4487</v>
      </c>
      <c r="F72" s="34">
        <v>-3040</v>
      </c>
      <c r="G72" s="76"/>
      <c r="H72" s="76"/>
      <c r="I72" s="76"/>
      <c r="J72" s="76"/>
      <c r="K72" s="76"/>
    </row>
    <row r="73" spans="2:11" x14ac:dyDescent="0.3">
      <c r="C73" s="6" t="s">
        <v>165</v>
      </c>
      <c r="D73" s="53">
        <f>SUM(D69:D72)</f>
        <v>52330</v>
      </c>
      <c r="E73" s="53">
        <f t="shared" ref="E73" si="32">SUM(E69:E72)</f>
        <v>62850</v>
      </c>
      <c r="F73" s="53">
        <f>SUM(F69:F72)</f>
        <v>88257</v>
      </c>
      <c r="G73" s="53">
        <f>'Equity Schedule'!G8</f>
        <v>88257</v>
      </c>
      <c r="H73" s="53">
        <f>'Equity Schedule'!H8</f>
        <v>88257</v>
      </c>
      <c r="I73" s="53">
        <f>'Equity Schedule'!I8</f>
        <v>88257</v>
      </c>
      <c r="J73" s="53">
        <f>'Equity Schedule'!J8</f>
        <v>88257</v>
      </c>
      <c r="K73" s="53">
        <f>'Equity Schedule'!K8</f>
        <v>88257</v>
      </c>
    </row>
    <row r="74" spans="2:11" x14ac:dyDescent="0.3">
      <c r="C74" s="5" t="s">
        <v>38</v>
      </c>
      <c r="D74" s="34">
        <v>85915</v>
      </c>
      <c r="E74" s="34">
        <v>83193</v>
      </c>
      <c r="F74" s="34">
        <v>113618</v>
      </c>
      <c r="G74" s="34">
        <f ca="1">'Equity Schedule'!G14</f>
        <v>148704.56698727148</v>
      </c>
      <c r="H74" s="34">
        <f ca="1">'Equity Schedule'!H14</f>
        <v>187791.6481238156</v>
      </c>
      <c r="I74" s="34">
        <f ca="1">'Equity Schedule'!I14</f>
        <v>231326.85160351891</v>
      </c>
      <c r="J74" s="34">
        <f ca="1">'Equity Schedule'!J14</f>
        <v>279758.29740216094</v>
      </c>
      <c r="K74" s="34">
        <f ca="1">'Equity Schedule'!K14</f>
        <v>333662.46711255389</v>
      </c>
    </row>
    <row r="75" spans="2:11" x14ac:dyDescent="0.3">
      <c r="C75" s="6" t="s">
        <v>39</v>
      </c>
      <c r="D75" s="53">
        <f>SUM(D73:D74)</f>
        <v>138245</v>
      </c>
      <c r="E75" s="53">
        <f t="shared" ref="E75:F75" si="33">SUM(E73:E74)</f>
        <v>146043</v>
      </c>
      <c r="F75" s="53">
        <f t="shared" si="33"/>
        <v>201875</v>
      </c>
      <c r="G75" s="34">
        <f ca="1">SUM(G73:G74)</f>
        <v>236961.56698727148</v>
      </c>
      <c r="H75" s="34">
        <f ca="1">SUM(H73:H74)</f>
        <v>276048.6481238156</v>
      </c>
      <c r="I75" s="34">
        <f ca="1">SUM(I73:I74)</f>
        <v>319583.85160351894</v>
      </c>
      <c r="J75" s="34">
        <f ca="1">SUM(J73:J74)</f>
        <v>368015.29740216094</v>
      </c>
      <c r="K75" s="34">
        <f ca="1">SUM(K73:K74)</f>
        <v>421919.46711255389</v>
      </c>
    </row>
    <row r="76" spans="2:11" x14ac:dyDescent="0.3">
      <c r="C76" s="5"/>
    </row>
    <row r="77" spans="2:11" ht="15" thickBot="1" x14ac:dyDescent="0.35">
      <c r="B77" t="s">
        <v>14</v>
      </c>
      <c r="C77" s="1" t="s">
        <v>40</v>
      </c>
      <c r="D77" s="8">
        <f t="shared" ref="D77:F77" si="34">SUM(D60,D66,D75)</f>
        <v>420549</v>
      </c>
      <c r="E77" s="8">
        <f t="shared" si="34"/>
        <v>462675</v>
      </c>
      <c r="F77" s="8">
        <f t="shared" si="34"/>
        <v>527854</v>
      </c>
      <c r="G77" s="56">
        <f ca="1">SUM(G60,G66,G75)</f>
        <v>575294.10995994159</v>
      </c>
      <c r="H77" s="56">
        <f ca="1">SUM(H60,H66,H75)</f>
        <v>626738.40295744943</v>
      </c>
      <c r="I77" s="56">
        <f ca="1">SUM(I60,I66,I75)</f>
        <v>683895.69801579695</v>
      </c>
      <c r="J77" s="56">
        <f ca="1">SUM(J60,J66,J75)</f>
        <v>747242.8012339907</v>
      </c>
      <c r="K77" s="56">
        <f ca="1">SUM(K60,K66,K75)</f>
        <v>817847.65463761182</v>
      </c>
    </row>
    <row r="78" spans="2:11" ht="15" thickTop="1" x14ac:dyDescent="0.3"/>
    <row r="79" spans="2:11" x14ac:dyDescent="0.3">
      <c r="C79" s="9" t="s">
        <v>36</v>
      </c>
      <c r="D79" s="9" t="b">
        <f>D52=D77</f>
        <v>1</v>
      </c>
      <c r="E79" s="9" t="b">
        <f t="shared" ref="E79:F79" si="35">E52=E77</f>
        <v>1</v>
      </c>
      <c r="F79" s="9" t="b">
        <f t="shared" si="35"/>
        <v>1</v>
      </c>
      <c r="G79" s="9" t="b">
        <f ca="1">G52=G77</f>
        <v>0</v>
      </c>
      <c r="H79" s="9" t="b">
        <f ca="1">H52=H77</f>
        <v>0</v>
      </c>
      <c r="I79" s="9" t="b">
        <f ca="1">I52=I77</f>
        <v>0</v>
      </c>
      <c r="J79" s="9" t="b">
        <f ca="1">J52=J77</f>
        <v>0</v>
      </c>
      <c r="K79" s="9" t="b">
        <f ca="1">K52=K77</f>
        <v>0</v>
      </c>
    </row>
    <row r="81" spans="3:11" x14ac:dyDescent="0.3">
      <c r="C81" s="7" t="s">
        <v>41</v>
      </c>
      <c r="D81" s="105" t="s">
        <v>59</v>
      </c>
      <c r="E81" s="105"/>
      <c r="F81" s="105"/>
      <c r="G81" s="105"/>
      <c r="H81" s="105"/>
      <c r="I81" s="105"/>
      <c r="J81" s="105"/>
      <c r="K81" s="105"/>
    </row>
    <row r="82" spans="3:11" x14ac:dyDescent="0.3">
      <c r="D82" s="14">
        <f>D4</f>
        <v>2021</v>
      </c>
      <c r="E82" s="14">
        <f>D82+1</f>
        <v>2022</v>
      </c>
      <c r="F82" s="14">
        <f t="shared" ref="F82:K82" si="36">E82+1</f>
        <v>2023</v>
      </c>
      <c r="G82" s="15">
        <f t="shared" si="36"/>
        <v>2024</v>
      </c>
      <c r="H82" s="15">
        <f t="shared" si="36"/>
        <v>2025</v>
      </c>
      <c r="I82" s="15">
        <f t="shared" si="36"/>
        <v>2026</v>
      </c>
      <c r="J82" s="15">
        <f t="shared" si="36"/>
        <v>2027</v>
      </c>
      <c r="K82" s="15">
        <f t="shared" si="36"/>
        <v>2028</v>
      </c>
    </row>
    <row r="83" spans="3:11" x14ac:dyDescent="0.3">
      <c r="D83" s="14"/>
      <c r="E83" s="14"/>
      <c r="F83" s="14"/>
      <c r="G83" s="15"/>
      <c r="H83" s="15"/>
      <c r="I83" s="15"/>
      <c r="J83" s="15"/>
      <c r="K83" s="15"/>
    </row>
    <row r="84" spans="3:11" x14ac:dyDescent="0.3">
      <c r="C84" t="s">
        <v>42</v>
      </c>
      <c r="D84" s="71">
        <f t="shared" ref="D84:K84" si="37">D31</f>
        <v>33364</v>
      </c>
      <c r="E84" s="18">
        <f t="shared" si="37"/>
        <v>-2722</v>
      </c>
      <c r="F84" s="18">
        <f t="shared" si="37"/>
        <v>30430</v>
      </c>
      <c r="G84" s="29">
        <f t="shared" ca="1" si="37"/>
        <v>35086.566987271493</v>
      </c>
      <c r="H84" s="32">
        <f t="shared" ca="1" si="37"/>
        <v>39087.081136544119</v>
      </c>
      <c r="I84" s="32">
        <f t="shared" ca="1" si="37"/>
        <v>43535.203479703312</v>
      </c>
      <c r="J84" s="32">
        <f t="shared" ca="1" si="37"/>
        <v>48431.445798642002</v>
      </c>
      <c r="K84" s="32">
        <f t="shared" ca="1" si="37"/>
        <v>53904.169710392918</v>
      </c>
    </row>
    <row r="85" spans="3:11" x14ac:dyDescent="0.3">
      <c r="C85" s="10" t="s">
        <v>44</v>
      </c>
      <c r="D85" s="35">
        <f>D23</f>
        <v>34433</v>
      </c>
      <c r="E85" s="18">
        <f>E23</f>
        <v>41921</v>
      </c>
      <c r="F85" s="18">
        <f>F23</f>
        <v>48663</v>
      </c>
      <c r="G85" s="32">
        <f t="shared" ref="G85:K85" si="38">G23</f>
        <v>54059.845734961564</v>
      </c>
      <c r="H85" s="32">
        <f t="shared" si="38"/>
        <v>59161.704018364508</v>
      </c>
      <c r="I85" s="32">
        <f t="shared" si="38"/>
        <v>64988.791087229387</v>
      </c>
      <c r="J85" s="32">
        <f t="shared" si="38"/>
        <v>71625.988927802799</v>
      </c>
      <c r="K85" s="32">
        <f t="shared" si="38"/>
        <v>79056.744655255796</v>
      </c>
    </row>
    <row r="86" spans="3:11" x14ac:dyDescent="0.3">
      <c r="C86" s="4" t="s">
        <v>43</v>
      </c>
      <c r="D86" s="18"/>
      <c r="E86" s="35">
        <f>'Working Cap Schedule'!E23</f>
        <v>-1893</v>
      </c>
      <c r="F86" s="18">
        <v>-718</v>
      </c>
      <c r="G86" s="34">
        <f>-'Working Cap Schedule'!G23</f>
        <v>8415.426483846968</v>
      </c>
      <c r="H86" s="34">
        <f>-'Working Cap Schedule'!H23</f>
        <v>2647.5339586748451</v>
      </c>
      <c r="I86" s="34">
        <f>-'Working Cap Schedule'!I23</f>
        <v>2859.1372206776578</v>
      </c>
      <c r="J86" s="34">
        <f>-'Working Cap Schedule'!J23</f>
        <v>2985.1703655613528</v>
      </c>
      <c r="K86" s="34">
        <f>-'Working Cap Schedule'!K23</f>
        <v>3476.0135319100518</v>
      </c>
    </row>
    <row r="87" spans="3:11" x14ac:dyDescent="0.3">
      <c r="C87" s="10" t="s">
        <v>45</v>
      </c>
      <c r="D87" s="18"/>
      <c r="E87" s="35">
        <f>E88-SUM(E84:E86)</f>
        <v>9446</v>
      </c>
      <c r="F87" s="35">
        <f>F88-SUM(F84:F86)</f>
        <v>6571</v>
      </c>
    </row>
    <row r="88" spans="3:11" x14ac:dyDescent="0.3">
      <c r="C88" s="6" t="s">
        <v>46</v>
      </c>
      <c r="D88" s="72">
        <v>46327</v>
      </c>
      <c r="E88" s="72">
        <v>46752</v>
      </c>
      <c r="F88" s="72">
        <v>84946</v>
      </c>
      <c r="G88" s="48">
        <f ca="1">SUM(G84:G86,G87)</f>
        <v>97561.839206080025</v>
      </c>
      <c r="H88" s="48">
        <f ca="1">SUM(H84:H86,H87)</f>
        <v>100896.31911358348</v>
      </c>
      <c r="I88" s="48">
        <f ca="1">SUM(I84:I86,I87)</f>
        <v>111383.13178761036</v>
      </c>
      <c r="J88" s="48">
        <f ca="1">SUM(J84:J86,J87)</f>
        <v>123042.60509200615</v>
      </c>
      <c r="K88" s="48">
        <f ca="1">SUM(K84:K86,K87)</f>
        <v>136436.92789755875</v>
      </c>
    </row>
    <row r="90" spans="3:11" x14ac:dyDescent="0.3">
      <c r="C90" t="s">
        <v>47</v>
      </c>
      <c r="D90" s="73">
        <v>-61053</v>
      </c>
      <c r="E90" s="73">
        <v>-63645</v>
      </c>
      <c r="F90" s="73">
        <v>-52729</v>
      </c>
      <c r="G90" s="36">
        <f>'D&amp;A Schedule'!G6</f>
        <v>-73085.509343755097</v>
      </c>
      <c r="H90" s="36">
        <f>'D&amp;A Schedule'!H6</f>
        <v>-81013.604077448472</v>
      </c>
      <c r="I90" s="36">
        <f>'D&amp;A Schedule'!I6</f>
        <v>-89801.714519738511</v>
      </c>
      <c r="J90" s="36">
        <f>'D&amp;A Schedule'!J6</f>
        <v>-99543.132570366215</v>
      </c>
      <c r="K90" s="36">
        <f>'D&amp;A Schedule'!K6</f>
        <v>-110341.27015184693</v>
      </c>
    </row>
    <row r="91" spans="3:11" x14ac:dyDescent="0.3">
      <c r="C91" s="10" t="s">
        <v>48</v>
      </c>
      <c r="E91" s="73"/>
      <c r="F91" s="73"/>
    </row>
    <row r="92" spans="3:11" x14ac:dyDescent="0.3">
      <c r="C92" s="6" t="s">
        <v>49</v>
      </c>
      <c r="D92" s="77">
        <v>-58154</v>
      </c>
      <c r="E92" s="77">
        <v>-37601</v>
      </c>
      <c r="F92" s="77">
        <v>-49833</v>
      </c>
      <c r="G92" s="78">
        <f>SUM(G90:G91)</f>
        <v>-73085.509343755097</v>
      </c>
      <c r="H92" s="78">
        <f t="shared" ref="H92:K92" si="39">SUM(H90:H91)</f>
        <v>-81013.604077448472</v>
      </c>
      <c r="I92" s="78">
        <f t="shared" si="39"/>
        <v>-89801.714519738511</v>
      </c>
      <c r="J92" s="78">
        <f t="shared" si="39"/>
        <v>-99543.132570366215</v>
      </c>
      <c r="K92" s="78">
        <f t="shared" si="39"/>
        <v>-110341.27015184693</v>
      </c>
    </row>
    <row r="94" spans="3:11" x14ac:dyDescent="0.3">
      <c r="C94" t="s">
        <v>50</v>
      </c>
      <c r="D94" s="82"/>
      <c r="E94" s="82"/>
      <c r="F94" s="82"/>
      <c r="G94">
        <f>'Equity Schedule'!G6</f>
        <v>0</v>
      </c>
      <c r="H94">
        <f>'Equity Schedule'!H6</f>
        <v>0</v>
      </c>
      <c r="I94">
        <f>'Equity Schedule'!I6</f>
        <v>0</v>
      </c>
      <c r="J94">
        <f>'Equity Schedule'!J6</f>
        <v>0</v>
      </c>
      <c r="K94">
        <f>'Equity Schedule'!K6</f>
        <v>0</v>
      </c>
    </row>
    <row r="95" spans="3:11" x14ac:dyDescent="0.3">
      <c r="C95" t="s">
        <v>51</v>
      </c>
      <c r="D95" s="82"/>
      <c r="E95" s="83"/>
      <c r="F95" s="82"/>
      <c r="G95">
        <f>'Equity Schedule'!G7</f>
        <v>0</v>
      </c>
      <c r="H95">
        <f>'Equity Schedule'!H7</f>
        <v>0</v>
      </c>
      <c r="I95">
        <f>'Equity Schedule'!I7</f>
        <v>0</v>
      </c>
      <c r="J95">
        <f>'Equity Schedule'!J7</f>
        <v>0</v>
      </c>
      <c r="K95">
        <f>'Equity Schedule'!K7</f>
        <v>0</v>
      </c>
    </row>
    <row r="96" spans="3:11" x14ac:dyDescent="0.3">
      <c r="C96" t="s">
        <v>54</v>
      </c>
      <c r="D96" s="82"/>
      <c r="E96" s="82"/>
      <c r="F96" s="82"/>
      <c r="G96">
        <f>'Equity Schedule'!G13</f>
        <v>0</v>
      </c>
      <c r="H96">
        <f>'Equity Schedule'!H13</f>
        <v>0</v>
      </c>
      <c r="I96">
        <f>'Equity Schedule'!I13</f>
        <v>0</v>
      </c>
      <c r="J96">
        <f>'Equity Schedule'!J13</f>
        <v>0</v>
      </c>
      <c r="K96">
        <f>'Equity Schedule'!K13</f>
        <v>0</v>
      </c>
    </row>
    <row r="97" spans="3:11" x14ac:dyDescent="0.3">
      <c r="C97" t="s">
        <v>52</v>
      </c>
      <c r="D97" s="82"/>
      <c r="E97" s="82"/>
      <c r="F97" s="82"/>
      <c r="G97">
        <f>Assumption!G27</f>
        <v>0</v>
      </c>
      <c r="H97">
        <f>Assumption!H27</f>
        <v>0</v>
      </c>
      <c r="I97">
        <f>Assumption!I27</f>
        <v>0</v>
      </c>
      <c r="J97">
        <f>Assumption!J27</f>
        <v>0</v>
      </c>
      <c r="K97">
        <f>Assumption!K27</f>
        <v>0</v>
      </c>
    </row>
    <row r="98" spans="3:11" x14ac:dyDescent="0.3">
      <c r="C98" t="s">
        <v>53</v>
      </c>
      <c r="D98" s="82"/>
      <c r="E98" s="82"/>
      <c r="F98" s="82"/>
      <c r="G98" s="34">
        <f>Assumption!G28</f>
        <v>-8500</v>
      </c>
      <c r="H98" s="34">
        <f>Assumption!H28</f>
        <v>-5286</v>
      </c>
      <c r="I98" s="34">
        <f>Assumption!I28</f>
        <v>-3146</v>
      </c>
      <c r="J98" s="34">
        <f>Assumption!J28</f>
        <v>-8750</v>
      </c>
      <c r="K98" s="34">
        <f>Assumption!K28</f>
        <v>-2250</v>
      </c>
    </row>
    <row r="99" spans="3:11" x14ac:dyDescent="0.3">
      <c r="C99" s="10" t="s">
        <v>48</v>
      </c>
    </row>
    <row r="100" spans="3:11" x14ac:dyDescent="0.3">
      <c r="C100" s="6" t="s">
        <v>55</v>
      </c>
      <c r="D100" s="72">
        <v>6291</v>
      </c>
      <c r="E100" s="72">
        <v>9718</v>
      </c>
      <c r="F100" s="72">
        <v>-15879</v>
      </c>
      <c r="G100" s="11">
        <f t="shared" ref="G100:K100" si="40">SUM(G94:G99)</f>
        <v>-8500</v>
      </c>
      <c r="H100" s="11">
        <f t="shared" si="40"/>
        <v>-5286</v>
      </c>
      <c r="I100" s="11">
        <f t="shared" si="40"/>
        <v>-3146</v>
      </c>
      <c r="J100" s="11">
        <f t="shared" si="40"/>
        <v>-8750</v>
      </c>
      <c r="K100" s="11">
        <f t="shared" si="40"/>
        <v>-2250</v>
      </c>
    </row>
    <row r="102" spans="3:11" x14ac:dyDescent="0.3">
      <c r="C102" s="4" t="s">
        <v>56</v>
      </c>
      <c r="D102" s="4">
        <f t="shared" ref="D102:K102" si="41">SUM(D88,D92,D100)</f>
        <v>-5536</v>
      </c>
      <c r="E102" s="4">
        <f t="shared" si="41"/>
        <v>18869</v>
      </c>
      <c r="F102" s="4">
        <f t="shared" si="41"/>
        <v>19234</v>
      </c>
      <c r="G102" s="70">
        <f t="shared" ca="1" si="41"/>
        <v>15976.329862324928</v>
      </c>
      <c r="H102" s="70">
        <f t="shared" ca="1" si="41"/>
        <v>14596.715036135007</v>
      </c>
      <c r="I102" s="70">
        <f t="shared" ca="1" si="41"/>
        <v>18435.417267871846</v>
      </c>
      <c r="J102" s="70">
        <f t="shared" ca="1" si="41"/>
        <v>14749.472521639938</v>
      </c>
      <c r="K102" s="70">
        <f t="shared" ca="1" si="41"/>
        <v>23845.657745711826</v>
      </c>
    </row>
    <row r="103" spans="3:11" x14ac:dyDescent="0.3">
      <c r="C103" s="4"/>
      <c r="D103" s="4"/>
      <c r="E103" s="4"/>
      <c r="F103" s="4"/>
      <c r="G103" s="4"/>
      <c r="H103" s="4"/>
      <c r="I103" s="4"/>
      <c r="J103" s="4"/>
      <c r="K103" s="4"/>
    </row>
    <row r="104" spans="3:11" x14ac:dyDescent="0.3">
      <c r="C104" t="s">
        <v>57</v>
      </c>
      <c r="D104" s="69"/>
      <c r="E104">
        <f>D106</f>
        <v>36220</v>
      </c>
      <c r="F104">
        <f>E106</f>
        <v>53888</v>
      </c>
      <c r="G104">
        <f t="shared" ref="G104" si="42">F106</f>
        <v>73387</v>
      </c>
      <c r="H104" s="32">
        <f ca="1">G106</f>
        <v>89363.329862324928</v>
      </c>
      <c r="I104" s="32">
        <f ca="1">H106</f>
        <v>103960.04489845994</v>
      </c>
      <c r="J104" s="32">
        <f ca="1">I106</f>
        <v>122395.46216633178</v>
      </c>
      <c r="K104" s="32">
        <f ca="1">J106</f>
        <v>137144.93468797172</v>
      </c>
    </row>
    <row r="105" spans="3:11" x14ac:dyDescent="0.3">
      <c r="C105" s="4" t="s">
        <v>56</v>
      </c>
      <c r="D105">
        <f t="shared" ref="D105:K105" si="43">D102</f>
        <v>-5536</v>
      </c>
      <c r="E105">
        <f t="shared" si="43"/>
        <v>18869</v>
      </c>
      <c r="F105">
        <f t="shared" si="43"/>
        <v>19234</v>
      </c>
      <c r="G105" s="32">
        <f t="shared" ca="1" si="43"/>
        <v>15976.329862324928</v>
      </c>
      <c r="H105" s="32">
        <f t="shared" ca="1" si="43"/>
        <v>14596.715036135007</v>
      </c>
      <c r="I105" s="32">
        <f t="shared" ca="1" si="43"/>
        <v>18435.417267871846</v>
      </c>
      <c r="J105" s="32">
        <f t="shared" ca="1" si="43"/>
        <v>14749.472521639938</v>
      </c>
      <c r="K105" s="32">
        <f t="shared" ca="1" si="43"/>
        <v>23845.657745711826</v>
      </c>
    </row>
    <row r="106" spans="3:11" x14ac:dyDescent="0.3">
      <c r="C106" s="4" t="s">
        <v>58</v>
      </c>
      <c r="D106" s="34">
        <f>D37</f>
        <v>36220</v>
      </c>
      <c r="E106" s="34">
        <f>E37</f>
        <v>53888</v>
      </c>
      <c r="F106" s="34">
        <f>F37</f>
        <v>73387</v>
      </c>
      <c r="G106" s="32">
        <f ca="1">SUM(G104:G105)</f>
        <v>89363.329862324928</v>
      </c>
      <c r="H106" s="32">
        <f ca="1">SUM(H104:H105)</f>
        <v>103960.04489845994</v>
      </c>
      <c r="I106" s="32">
        <f ca="1">SUM(I104:I105)</f>
        <v>122395.46216633178</v>
      </c>
      <c r="J106" s="32">
        <f ca="1">SUM(J104:J105)</f>
        <v>137144.93468797172</v>
      </c>
      <c r="K106" s="32">
        <f ca="1">SUM(K104:K105)</f>
        <v>160990.59243368355</v>
      </c>
    </row>
    <row r="108" spans="3:11" x14ac:dyDescent="0.3">
      <c r="C108" s="4" t="s">
        <v>60</v>
      </c>
      <c r="D108" s="4" t="b">
        <f t="shared" ref="D108:K108" si="44">D106=D37</f>
        <v>1</v>
      </c>
      <c r="E108" s="4" t="b">
        <f t="shared" si="44"/>
        <v>1</v>
      </c>
      <c r="F108" s="4" t="b">
        <f t="shared" si="44"/>
        <v>1</v>
      </c>
      <c r="G108" s="4" t="b">
        <f t="shared" ca="1" si="44"/>
        <v>1</v>
      </c>
      <c r="H108" s="4" t="b">
        <f t="shared" ca="1" si="44"/>
        <v>1</v>
      </c>
      <c r="I108" s="4" t="b">
        <f t="shared" ca="1" si="44"/>
        <v>1</v>
      </c>
      <c r="J108" s="4" t="b">
        <f t="shared" ca="1" si="44"/>
        <v>1</v>
      </c>
      <c r="K108" s="4" t="b">
        <f t="shared" ca="1" si="44"/>
        <v>1</v>
      </c>
    </row>
    <row r="112" spans="3:11" x14ac:dyDescent="0.3">
      <c r="F112" s="34"/>
    </row>
  </sheetData>
  <mergeCells count="3">
    <mergeCell ref="D3:K3"/>
    <mergeCell ref="D34:K34"/>
    <mergeCell ref="D81:K81"/>
  </mergeCells>
  <pageMargins left="0.7" right="0.7" top="0.75" bottom="0.75" header="0.3" footer="0.3"/>
  <pageSetup orientation="portrait" r:id="rId1"/>
  <ignoredErrors>
    <ignoredError sqref="G7 H7:K7 G64:K64 H13 G15:K15 G13 I13:K13 G50 H14:K14 G17:K17 H16:K16 G19:K19 H18:K1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64"/>
  <sheetViews>
    <sheetView topLeftCell="G1" workbookViewId="0">
      <selection activeCell="J12" sqref="J12"/>
    </sheetView>
  </sheetViews>
  <sheetFormatPr defaultRowHeight="14.4" x14ac:dyDescent="0.3"/>
  <cols>
    <col min="2" max="2" width="1.77734375" bestFit="1" customWidth="1"/>
    <col min="3" max="3" width="30.21875" bestFit="1" customWidth="1"/>
    <col min="4" max="4" width="21.6640625" bestFit="1" customWidth="1"/>
    <col min="5" max="12" width="18.77734375" bestFit="1" customWidth="1"/>
    <col min="13" max="13" width="11.88671875" customWidth="1"/>
  </cols>
  <sheetData>
    <row r="3" spans="2:12" x14ac:dyDescent="0.3">
      <c r="B3" t="s">
        <v>14</v>
      </c>
      <c r="C3" s="7" t="s">
        <v>61</v>
      </c>
      <c r="D3" s="7"/>
      <c r="E3" s="105" t="s">
        <v>12</v>
      </c>
      <c r="F3" s="105"/>
      <c r="G3" s="105"/>
      <c r="H3" s="105"/>
      <c r="I3" s="105"/>
      <c r="J3" s="105"/>
      <c r="K3" s="105"/>
      <c r="L3" s="105"/>
    </row>
    <row r="4" spans="2:12" x14ac:dyDescent="0.3">
      <c r="D4" s="16" t="s">
        <v>86</v>
      </c>
      <c r="E4" s="13">
        <v>2021</v>
      </c>
      <c r="F4" s="13">
        <f>E4+1</f>
        <v>2022</v>
      </c>
      <c r="G4" s="13">
        <f>F4+1</f>
        <v>2023</v>
      </c>
      <c r="H4" s="2">
        <f>G4+1</f>
        <v>2024</v>
      </c>
      <c r="I4" s="2">
        <f t="shared" ref="I4:L4" si="0">H4+1</f>
        <v>2025</v>
      </c>
      <c r="J4" s="2">
        <f t="shared" si="0"/>
        <v>2026</v>
      </c>
      <c r="K4" s="2">
        <f t="shared" si="0"/>
        <v>2027</v>
      </c>
      <c r="L4" s="2">
        <f t="shared" si="0"/>
        <v>2028</v>
      </c>
    </row>
    <row r="5" spans="2:12" x14ac:dyDescent="0.3">
      <c r="D5" s="16"/>
    </row>
    <row r="6" spans="2:12" x14ac:dyDescent="0.3">
      <c r="C6" s="1" t="s">
        <v>62</v>
      </c>
      <c r="D6" s="1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</row>
    <row r="7" spans="2:12" x14ac:dyDescent="0.3">
      <c r="C7" t="s">
        <v>64</v>
      </c>
      <c r="E7" s="46">
        <f>'Operating Model - IS, BS, CF'!D9/'Operating Model - IS, BS, CF'!D5</f>
        <v>0.42032514441639601</v>
      </c>
      <c r="F7" s="46">
        <f>'Operating Model - IS, BS, CF'!E9/'Operating Model - IS, BS, CF'!E5</f>
        <v>0.43805339865326287</v>
      </c>
      <c r="G7" s="46">
        <f>'Operating Model - IS, BS, CF'!F9/'Operating Model - IS, BS, CF'!F5</f>
        <v>0.46982088955000567</v>
      </c>
      <c r="H7" s="46">
        <f>'Operating Model - IS, BS, CF'!G9/'Operating Model - IS, BS, CF'!G5</f>
        <v>0.44273314420655491</v>
      </c>
      <c r="I7" s="46">
        <f>'Operating Model - IS, BS, CF'!H9/'Operating Model - IS, BS, CF'!H5</f>
        <v>0.44273314420655485</v>
      </c>
      <c r="J7" s="46">
        <f>'Operating Model - IS, BS, CF'!I9/'Operating Model - IS, BS, CF'!I5</f>
        <v>0.44273314420655485</v>
      </c>
      <c r="K7" s="46">
        <f>'Operating Model - IS, BS, CF'!J9/'Operating Model - IS, BS, CF'!J5</f>
        <v>0.44273314420655491</v>
      </c>
      <c r="L7" s="46">
        <f>'Operating Model - IS, BS, CF'!K9/'Operating Model - IS, BS, CF'!K5</f>
        <v>0.44273314420655485</v>
      </c>
    </row>
    <row r="8" spans="2:12" x14ac:dyDescent="0.3">
      <c r="C8" t="s">
        <v>65</v>
      </c>
      <c r="E8" s="24">
        <f>'Operating Model - IS, BS, CF'!D22/'Operating Model - IS, BS, CF'!D5</f>
        <v>0.12624355607017126</v>
      </c>
      <c r="F8" s="24">
        <f>'Operating Model - IS, BS, CF'!E22/'Operating Model - IS, BS, CF'!E5</f>
        <v>0.10539064521589235</v>
      </c>
      <c r="G8" s="24">
        <f>'Operating Model - IS, BS, CF'!F22/'Operating Model - IS, BS, CF'!F5</f>
        <v>0.1487860678340597</v>
      </c>
      <c r="H8" s="24">
        <f>'Operating Model - IS, BS, CF'!G22/'Operating Model - IS, BS, CF'!G5</f>
        <v>0.13215858883931786</v>
      </c>
      <c r="I8" s="24">
        <f>'Operating Model - IS, BS, CF'!H22/'Operating Model - IS, BS, CF'!H5</f>
        <v>0.13107475515930939</v>
      </c>
      <c r="J8" s="24">
        <f>'Operating Model - IS, BS, CF'!I22/'Operating Model - IS, BS, CF'!I5</f>
        <v>0.13031731415320025</v>
      </c>
      <c r="K8" s="24">
        <f>'Operating Model - IS, BS, CF'!J22/'Operating Model - IS, BS, CF'!J5</f>
        <v>0.12983994963006837</v>
      </c>
      <c r="L8" s="24">
        <f>'Operating Model - IS, BS, CF'!K22/'Operating Model - IS, BS, CF'!K5</f>
        <v>0.12948609584137102</v>
      </c>
    </row>
    <row r="9" spans="2:12" x14ac:dyDescent="0.3">
      <c r="C9" t="s">
        <v>66</v>
      </c>
      <c r="E9" s="46">
        <f>'Operating Model - IS, BS, CF'!D24/'Operating Model - IS, BS, CF'!D5</f>
        <v>5.2954097509269465E-2</v>
      </c>
      <c r="F9" s="46">
        <f>'Operating Model - IS, BS, CF'!E24/'Operating Model - IS, BS, CF'!E5</f>
        <v>2.3829581912242232E-2</v>
      </c>
      <c r="G9" s="46">
        <f>'Operating Model - IS, BS, CF'!F24/'Operating Model - IS, BS, CF'!F5</f>
        <v>6.4123106900841179E-2</v>
      </c>
      <c r="H9" s="46">
        <f>'Operating Model - IS, BS, CF'!G24/'Operating Model - IS, BS, CF'!G5</f>
        <v>4.696892877411768E-2</v>
      </c>
      <c r="I9" s="46">
        <f>'Operating Model - IS, BS, CF'!H24/'Operating Model - IS, BS, CF'!H5</f>
        <v>4.6968928774117666E-2</v>
      </c>
      <c r="J9" s="46">
        <f>'Operating Model - IS, BS, CF'!I24/'Operating Model - IS, BS, CF'!I5</f>
        <v>4.6968928774117708E-2</v>
      </c>
      <c r="K9" s="46">
        <f>'Operating Model - IS, BS, CF'!J24/'Operating Model - IS, BS, CF'!J5</f>
        <v>4.6968928774117687E-2</v>
      </c>
      <c r="L9" s="46">
        <f>'Operating Model - IS, BS, CF'!K24/'Operating Model - IS, BS, CF'!K5</f>
        <v>4.6968928774117666E-2</v>
      </c>
    </row>
    <row r="10" spans="2:12" x14ac:dyDescent="0.3">
      <c r="C10" t="s">
        <v>67</v>
      </c>
      <c r="E10" s="46">
        <f>'Operating Model - IS, BS, CF'!D31/'Operating Model - IS, BS, CF'!D5</f>
        <v>7.1014128755145567E-2</v>
      </c>
      <c r="F10" s="46">
        <f>'Operating Model - IS, BS, CF'!E31/'Operating Model - IS, BS, CF'!E5</f>
        <v>-5.2958950004183018E-3</v>
      </c>
      <c r="G10" s="46">
        <f>'Operating Model - IS, BS, CF'!F31/'Operating Model - IS, BS, CF'!F5</f>
        <v>5.2941534660786209E-2</v>
      </c>
      <c r="H10" s="46">
        <f ca="1">'Operating Model - IS, BS, CF'!G31/'Operating Model - IS, BS, CF'!G5</f>
        <v>5.529081102367038E-2</v>
      </c>
      <c r="I10" s="46">
        <f ca="1">'Operating Model - IS, BS, CF'!H31/'Operating Model - IS, BS, CF'!H5</f>
        <v>5.5567217248401385E-2</v>
      </c>
      <c r="J10" s="46">
        <f ca="1">'Operating Model - IS, BS, CF'!I31/'Operating Model - IS, BS, CF'!I5</f>
        <v>5.5834073175983753E-2</v>
      </c>
      <c r="K10" s="46">
        <f ca="1">'Operating Model - IS, BS, CF'!J31/'Operating Model - IS, BS, CF'!J5</f>
        <v>5.6035014873004788E-2</v>
      </c>
      <c r="L10" s="46">
        <f ca="1">'Operating Model - IS, BS, CF'!K31/'Operating Model - IS, BS, CF'!K5</f>
        <v>5.6263629333722642E-2</v>
      </c>
    </row>
    <row r="12" spans="2:12" x14ac:dyDescent="0.3">
      <c r="C12" s="1" t="s">
        <v>63</v>
      </c>
      <c r="D12" s="1"/>
    </row>
    <row r="13" spans="2:12" x14ac:dyDescent="0.3">
      <c r="C13" t="s">
        <v>68</v>
      </c>
      <c r="F13" s="25">
        <f>'Operating Model - IS, BS, CF'!E31/AVERAGE('Operating Model - IS, BS, CF'!D52:E52)</f>
        <v>-6.1637817812921752E-3</v>
      </c>
      <c r="G13" s="25">
        <f>'Operating Model - IS, BS, CF'!F31/AVERAGE('Operating Model - IS, BS, CF'!E52:F52)</f>
        <v>6.1441916390130927E-2</v>
      </c>
      <c r="H13" s="25">
        <f ca="1">'Operating Model - IS, BS, CF'!G31/AVERAGE('Operating Model - IS, BS, CF'!F52:G52)</f>
        <v>6.4105654900469294E-2</v>
      </c>
      <c r="I13" s="25">
        <f ca="1">'Operating Model - IS, BS, CF'!H31/AVERAGE('Operating Model - IS, BS, CF'!G52:H52)</f>
        <v>6.6263524763274462E-2</v>
      </c>
      <c r="J13" s="25">
        <f ca="1">'Operating Model - IS, BS, CF'!I31/AVERAGE('Operating Model - IS, BS, CF'!H52:I52)</f>
        <v>6.8028214422178476E-2</v>
      </c>
      <c r="K13" s="25">
        <f ca="1">'Operating Model - IS, BS, CF'!J31/AVERAGE('Operating Model - IS, BS, CF'!I52:J52)</f>
        <v>6.9759584112213016E-2</v>
      </c>
      <c r="L13" s="25">
        <f ca="1">'Operating Model - IS, BS, CF'!K31/AVERAGE('Operating Model - IS, BS, CF'!J52:K52)</f>
        <v>7.1326509256551721E-2</v>
      </c>
    </row>
    <row r="14" spans="2:12" x14ac:dyDescent="0.3">
      <c r="C14" t="s">
        <v>69</v>
      </c>
      <c r="F14" s="46">
        <f>('Operating Model - IS, BS, CF'!E31/AVERAGE('Operating Model - IS, BS, CF'!D75:'Operating Model - IS, BS, CF'!E75))</f>
        <v>-1.914959477712742E-2</v>
      </c>
      <c r="G14" s="46">
        <f>('Operating Model - IS, BS, CF'!F31/AVERAGE('Operating Model - IS, BS, CF'!E75:'Operating Model - IS, BS, CF'!F75))</f>
        <v>0.17492627573163791</v>
      </c>
      <c r="H14" s="46">
        <f ca="1">('Operating Model - IS, BS, CF'!G31/AVERAGE('Operating Model - IS, BS, CF'!F75:'Operating Model - IS, BS, CF'!G75))</f>
        <v>0.15990721661209781</v>
      </c>
      <c r="I14" s="46">
        <f ca="1">('Operating Model - IS, BS, CF'!H31/AVERAGE('Operating Model - IS, BS, CF'!G75:'Operating Model - IS, BS, CF'!H75))</f>
        <v>0.15238324690310587</v>
      </c>
      <c r="J14" s="46">
        <f ca="1">('Operating Model - IS, BS, CF'!I31/AVERAGE('Operating Model - IS, BS, CF'!H75:'Operating Model - IS, BS, CF'!I75))</f>
        <v>0.14618142394725817</v>
      </c>
      <c r="K14" s="46">
        <f ca="1">('Operating Model - IS, BS, CF'!J31/AVERAGE('Operating Model - IS, BS, CF'!I75:'Operating Model - IS, BS, CF'!J75))</f>
        <v>0.14087116270774191</v>
      </c>
      <c r="L14" s="46">
        <f ca="1">('Operating Model - IS, BS, CF'!K31/AVERAGE('Operating Model - IS, BS, CF'!J75:'Operating Model - IS, BS, CF'!K75))</f>
        <v>0.13647752227617979</v>
      </c>
    </row>
    <row r="15" spans="2:12" x14ac:dyDescent="0.3">
      <c r="C15" t="s">
        <v>70</v>
      </c>
      <c r="E15" s="46">
        <f>'Operating Model - IS, BS, CF'!E24/('Operating Model - IS, BS, CF'!D52-'Operating Model - IS, BS, CF'!D60)</f>
        <v>4.4012749611007498E-2</v>
      </c>
      <c r="F15" s="46">
        <f>'Operating Model - IS, BS, CF'!F24/('Operating Model - IS, BS, CF'!E52-'Operating Model - IS, BS, CF'!E60)</f>
        <v>0.11994519692009295</v>
      </c>
      <c r="G15" s="46">
        <f>'Operating Model - IS, BS, CF'!G24/('Operating Model - IS, BS, CF'!F52-'Operating Model - IS, BS, CF'!F60)</f>
        <v>8.2123476710075555E-2</v>
      </c>
      <c r="H15" s="46">
        <f ca="1">'Operating Model - IS, BS, CF'!H24/('Operating Model - IS, BS, CF'!G52-'Operating Model - IS, BS, CF'!G60)</f>
        <v>8.4818679875522912E-2</v>
      </c>
      <c r="I15" s="46">
        <f ca="1">'Operating Model - IS, BS, CF'!I24/('Operating Model - IS, BS, CF'!H52-'Operating Model - IS, BS, CF'!H60)</f>
        <v>8.6512401241314943E-2</v>
      </c>
      <c r="J15" s="46">
        <f ca="1">'Operating Model - IS, BS, CF'!J24/('Operating Model - IS, BS, CF'!I52-'Operating Model - IS, BS, CF'!I60)</f>
        <v>8.7544431908082698E-2</v>
      </c>
      <c r="K15" s="46">
        <f ca="1">'Operating Model - IS, BS, CF'!K24/('Operating Model - IS, BS, CF'!J52-'Operating Model - IS, BS, CF'!J60)</f>
        <v>8.9391478175891256E-2</v>
      </c>
      <c r="L15" s="46">
        <f ca="1">'Operating Model - IS, BS, CF'!L24/('Operating Model - IS, BS, CF'!K52-'Operating Model - IS, BS, CF'!K60)</f>
        <v>0</v>
      </c>
    </row>
    <row r="17" spans="3:12" x14ac:dyDescent="0.3">
      <c r="C17" s="1" t="s">
        <v>71</v>
      </c>
      <c r="D17" s="1"/>
    </row>
    <row r="18" spans="3:12" x14ac:dyDescent="0.3">
      <c r="C18" t="s">
        <v>72</v>
      </c>
      <c r="E18" s="47">
        <f>'Operating Model - IS, BS, CF'!D42/'Operating Model - IS, BS, CF'!D60</f>
        <v>1.1357597739445826</v>
      </c>
      <c r="F18" s="47">
        <f>'Operating Model - IS, BS, CF'!E42/'Operating Model - IS, BS, CF'!E60</f>
        <v>0.9446435811136924</v>
      </c>
      <c r="G18" s="47">
        <f>'Operating Model - IS, BS, CF'!F42/'Operating Model - IS, BS, CF'!F60</f>
        <v>1.0450772206625152</v>
      </c>
      <c r="H18" s="47">
        <f ca="1">'Operating Model - IS, BS, CF'!G42/'Operating Model - IS, BS, CF'!G60</f>
        <v>1.0845876767060489</v>
      </c>
      <c r="I18" s="47">
        <f ca="1">'Operating Model - IS, BS, CF'!H42/'Operating Model - IS, BS, CF'!H60</f>
        <v>1.1420893501564524</v>
      </c>
      <c r="J18" s="47">
        <f ca="1">'Operating Model - IS, BS, CF'!I42/'Operating Model - IS, BS, CF'!I60</f>
        <v>1.209202443464005</v>
      </c>
      <c r="K18" s="47">
        <f ca="1">'Operating Model - IS, BS, CF'!J42/'Operating Model - IS, BS, CF'!J60</f>
        <v>1.2488233277294634</v>
      </c>
      <c r="L18" s="47">
        <f ca="1">'Operating Model - IS, BS, CF'!K42/'Operating Model - IS, BS, CF'!K60</f>
        <v>1.317858912173332</v>
      </c>
    </row>
    <row r="19" spans="3:12" x14ac:dyDescent="0.3">
      <c r="C19" t="s">
        <v>73</v>
      </c>
      <c r="E19" s="47">
        <f>('Operating Model - IS, BS, CF'!D37+'Operating Model - IS, BS, CF'!D38+'Operating Model - IS, BS, CF'!D39)/'Operating Model - IS, BS, CF'!D60</f>
        <v>0.90456609449903702</v>
      </c>
      <c r="F19" s="47">
        <f>('Operating Model - IS, BS, CF'!E37+'Operating Model - IS, BS, CF'!E38+'Operating Model - IS, BS, CF'!E39)/'Operating Model - IS, BS, CF'!E60</f>
        <v>0.72323721145740161</v>
      </c>
      <c r="G19" s="47">
        <f>('Operating Model - IS, BS, CF'!F37+'Operating Model - IS, BS, CF'!F38+'Operating Model - IS, BS, CF'!F39)/'Operating Model - IS, BS, CF'!F60</f>
        <v>0.84304832127676343</v>
      </c>
      <c r="H19" s="47">
        <f ca="1">('Operating Model - IS, BS, CF'!G37+'Operating Model - IS, BS, CF'!G38+'Operating Model - IS, BS, CF'!G39)/'Operating Model - IS, BS, CF'!G60</f>
        <v>0.85755794007968922</v>
      </c>
      <c r="I19" s="47">
        <f ca="1">('Operating Model - IS, BS, CF'!H37+'Operating Model - IS, BS, CF'!H38+'Operating Model - IS, BS, CF'!H39)/'Operating Model - IS, BS, CF'!H60</f>
        <v>0.9068315171302519</v>
      </c>
      <c r="J19" s="47">
        <f ca="1">('Operating Model - IS, BS, CF'!I37+'Operating Model - IS, BS, CF'!I38+'Operating Model - IS, BS, CF'!I39)/'Operating Model - IS, BS, CF'!I60</f>
        <v>0.96590225540562602</v>
      </c>
      <c r="K19" s="47">
        <f ca="1">('Operating Model - IS, BS, CF'!J37+'Operating Model - IS, BS, CF'!J38+'Operating Model - IS, BS, CF'!J39)/'Operating Model - IS, BS, CF'!J60</f>
        <v>0.99756916570738319</v>
      </c>
      <c r="L19" s="47">
        <f ca="1">('Operating Model - IS, BS, CF'!K37+'Operating Model - IS, BS, CF'!K38+'Operating Model - IS, BS, CF'!K39)/'Operating Model - IS, BS, CF'!K60</f>
        <v>1.0591534948365129</v>
      </c>
    </row>
    <row r="20" spans="3:12" x14ac:dyDescent="0.3">
      <c r="C20" t="s">
        <v>74</v>
      </c>
      <c r="E20" s="47">
        <f>('Operating Model - IS, BS, CF'!D37+'Operating Model - IS, BS, CF'!D38)/'Operating Model - IS, BS, CF'!D60</f>
        <v>0.67513671572968947</v>
      </c>
      <c r="F20" s="47">
        <f>('Operating Model - IS, BS, CF'!E37+'Operating Model - IS, BS, CF'!E38)/'Operating Model - IS, BS, CF'!E60</f>
        <v>0.45063805962945563</v>
      </c>
      <c r="G20" s="47">
        <f>('Operating Model - IS, BS, CF'!F37+'Operating Model - IS, BS, CF'!F38)/'Operating Model - IS, BS, CF'!F60</f>
        <v>0.52620409054251538</v>
      </c>
      <c r="H20" s="47">
        <f ca="1">('Operating Model - IS, BS, CF'!G37+'Operating Model - IS, BS, CF'!G38)/'Operating Model - IS, BS, CF'!G60</f>
        <v>0.57965823390165261</v>
      </c>
      <c r="I20" s="47">
        <f ca="1">('Operating Model - IS, BS, CF'!H37+'Operating Model - IS, BS, CF'!H38)/'Operating Model - IS, BS, CF'!H60</f>
        <v>0.61886006614072575</v>
      </c>
      <c r="J20" s="47">
        <f ca="1">('Operating Model - IS, BS, CF'!I37+'Operating Model - IS, BS, CF'!I38)/'Operating Model - IS, BS, CF'!I60</f>
        <v>0.66808641956311443</v>
      </c>
      <c r="K20" s="47">
        <f ca="1">('Operating Model - IS, BS, CF'!J37+'Operating Model - IS, BS, CF'!J38)/'Operating Model - IS, BS, CF'!J60</f>
        <v>0.69001712939921089</v>
      </c>
      <c r="L20" s="47">
        <f ca="1">('Operating Model - IS, BS, CF'!K37+'Operating Model - IS, BS, CF'!K38)/'Operating Model - IS, BS, CF'!K60</f>
        <v>0.74248061958717881</v>
      </c>
    </row>
    <row r="22" spans="3:12" x14ac:dyDescent="0.3">
      <c r="C22" s="1" t="s">
        <v>75</v>
      </c>
      <c r="D22" s="1"/>
    </row>
    <row r="23" spans="3:12" x14ac:dyDescent="0.3">
      <c r="C23" t="s">
        <v>76</v>
      </c>
      <c r="E23" s="47">
        <f>('Operating Model - IS, BS, CF'!D57+'Operating Model - IS, BS, CF'!D63+'Operating Model - IS, BS, CF'!D64)/'Operating Model - IS, BS, CF'!D75</f>
        <v>0.84194726753227966</v>
      </c>
      <c r="F23" s="47">
        <f>('Operating Model - IS, BS, CF'!E57+'Operating Model - IS, BS, CF'!E63+'Operating Model - IS, BS, CF'!E64)/'Operating Model - IS, BS, CF'!E75</f>
        <v>0.95942975698937982</v>
      </c>
      <c r="G23" s="47">
        <f>('Operating Model - IS, BS, CF'!F57+'Operating Model - IS, BS, CF'!F63+'Operating Model - IS, BS, CF'!F64)/'Operating Model - IS, BS, CF'!F75</f>
        <v>0.67175727554179565</v>
      </c>
      <c r="H23" s="47">
        <f ca="1">('Operating Model - IS, BS, CF'!G57+'Operating Model - IS, BS, CF'!G63+'Operating Model - IS, BS, CF'!G64)/'Operating Model - IS, BS, CF'!G75</f>
        <v>0.57229111760256224</v>
      </c>
      <c r="I23" s="47">
        <f ca="1">('Operating Model - IS, BS, CF'!H57+'Operating Model - IS, BS, CF'!H63+'Operating Model - IS, BS, CF'!H64)/'Operating Model - IS, BS, CF'!H75</f>
        <v>0.49125761318408867</v>
      </c>
      <c r="J23" s="47">
        <f ca="1">('Operating Model - IS, BS, CF'!I57+'Operating Model - IS, BS, CF'!I63+'Operating Model - IS, BS, CF'!I64)/'Operating Model - IS, BS, CF'!I75</f>
        <v>0.42433620885275913</v>
      </c>
      <c r="K23" s="47">
        <f ca="1">('Operating Model - IS, BS, CF'!J57+'Operating Model - IS, BS, CF'!J63+'Operating Model - IS, BS, CF'!J64)/'Operating Model - IS, BS, CF'!J75</f>
        <v>0.36849283428511009</v>
      </c>
      <c r="L23" s="47">
        <f ca="1">('Operating Model - IS, BS, CF'!K57+'Operating Model - IS, BS, CF'!K63+'Operating Model - IS, BS, CF'!K64)/'Operating Model - IS, BS, CF'!K75</f>
        <v>0.32141441808330584</v>
      </c>
    </row>
    <row r="24" spans="3:12" x14ac:dyDescent="0.3">
      <c r="C24" t="s">
        <v>77</v>
      </c>
      <c r="E24" s="47">
        <f>('Operating Model - IS, BS, CF'!D57+'Operating Model - IS, BS, CF'!D64+'Operating Model - IS, BS, CF'!D63)/'Operating Model - IS, BS, CF'!D52</f>
        <v>0.2767691755300809</v>
      </c>
      <c r="F24" s="47">
        <f>('Operating Model - IS, BS, CF'!E57+'Operating Model - IS, BS, CF'!E64+'Operating Model - IS, BS, CF'!E63)/'Operating Model - IS, BS, CF'!E52</f>
        <v>0.30284324850056737</v>
      </c>
      <c r="G24" s="47">
        <f>('Operating Model - IS, BS, CF'!F57+'Operating Model - IS, BS, CF'!F64+'Operating Model - IS, BS, CF'!F63)/'Operating Model - IS, BS, CF'!F52</f>
        <v>0.25691005467420913</v>
      </c>
      <c r="H24" s="47">
        <f ca="1">('Operating Model - IS, BS, CF'!G57+'Operating Model - IS, BS, CF'!G64+'Operating Model - IS, BS, CF'!G63)/'Operating Model - IS, BS, CF'!G52</f>
        <v>0.23925971991766881</v>
      </c>
      <c r="I24" s="47">
        <f ca="1">('Operating Model - IS, BS, CF'!H57+'Operating Model - IS, BS, CF'!H64+'Operating Model - IS, BS, CF'!H63)/'Operating Model - IS, BS, CF'!H52</f>
        <v>0.22124230094488104</v>
      </c>
      <c r="J24" s="47">
        <f ca="1">('Operating Model - IS, BS, CF'!I57+'Operating Model - IS, BS, CF'!I64+'Operating Model - IS, BS, CF'!I63)/'Operating Model - IS, BS, CF'!I52</f>
        <v>0.20332590874651782</v>
      </c>
      <c r="K24" s="47">
        <f ca="1">('Operating Model - IS, BS, CF'!J57+'Operating Model - IS, BS, CF'!J64+'Operating Model - IS, BS, CF'!J63)/'Operating Model - IS, BS, CF'!J52</f>
        <v>0.18794119604069723</v>
      </c>
      <c r="L24" s="47">
        <f ca="1">('Operating Model - IS, BS, CF'!K57+'Operating Model - IS, BS, CF'!K64+'Operating Model - IS, BS, CF'!K63)/'Operating Model - IS, BS, CF'!K52</f>
        <v>0.17167782307367238</v>
      </c>
    </row>
    <row r="25" spans="3:12" x14ac:dyDescent="0.3">
      <c r="C25" t="s">
        <v>78</v>
      </c>
      <c r="E25" s="47">
        <f>('Operating Model - IS, BS, CF'!D57+'Operating Model - IS, BS, CF'!D63+'Operating Model - IS, BS, CF'!D64)/'Operating Model - IS, BS, CF'!D22</f>
        <v>1.9624190720258969</v>
      </c>
      <c r="F25" s="47">
        <f>('Operating Model - IS, BS, CF'!E57+'Operating Model - IS, BS, CF'!E63+'Operating Model - IS, BS, CF'!E64)/'Operating Model - IS, BS, CF'!E22</f>
        <v>2.5866824198342226</v>
      </c>
      <c r="G25" s="47">
        <f>('Operating Model - IS, BS, CF'!F57+'Operating Model - IS, BS, CF'!F63+'Operating Model - IS, BS, CF'!F64)/'Operating Model - IS, BS, CF'!F22</f>
        <v>1.58572263797942</v>
      </c>
      <c r="H25" s="47">
        <f ca="1">('Operating Model - IS, BS, CF'!G57+'Operating Model - IS, BS, CF'!G63+'Operating Model - IS, BS, CF'!G64)/'Operating Model - IS, BS, CF'!G22</f>
        <v>1.6170059166082456</v>
      </c>
      <c r="I25" s="47">
        <f ca="1">('Operating Model - IS, BS, CF'!H57+'Operating Model - IS, BS, CF'!H63+'Operating Model - IS, BS, CF'!H64)/'Operating Model - IS, BS, CF'!H22</f>
        <v>1.470825908444461</v>
      </c>
      <c r="J25" s="47">
        <f ca="1">('Operating Model - IS, BS, CF'!I57+'Operating Model - IS, BS, CF'!I63+'Operating Model - IS, BS, CF'!I64)/'Operating Model - IS, BS, CF'!I22</f>
        <v>1.3346012604488329</v>
      </c>
      <c r="K25" s="47">
        <f ca="1">('Operating Model - IS, BS, CF'!J57+'Operating Model - IS, BS, CF'!J63+'Operating Model - IS, BS, CF'!J64)/'Operating Model - IS, BS, CF'!J22</f>
        <v>1.2084220401496788</v>
      </c>
      <c r="L25" s="47">
        <f>('Operating Model - IS, BS, CF'!K57+'Operating Model - IS, BS, CF'!K63+'Operating Model - IS, BS, CF'!K64)/'Operating Model - IS, BS, CF'!K22</f>
        <v>1.0931434684744921</v>
      </c>
    </row>
    <row r="27" spans="3:12" x14ac:dyDescent="0.3">
      <c r="C27" s="1" t="s">
        <v>79</v>
      </c>
      <c r="D27" s="1"/>
    </row>
    <row r="28" spans="3:12" x14ac:dyDescent="0.3">
      <c r="C28" t="s">
        <v>80</v>
      </c>
      <c r="E28" s="47">
        <f>-'Operating Model - IS, BS, CF'!D24/'Operating Model - IS, BS, CF'!D25</f>
        <v>13.752902155887231</v>
      </c>
      <c r="F28" s="47">
        <f>-'Operating Model - IS, BS, CF'!E24/'Operating Model - IS, BS, CF'!E25</f>
        <v>5.1744824672581329</v>
      </c>
      <c r="G28" s="47">
        <f>-'Operating Model - IS, BS, CF'!F24/'Operating Model - IS, BS, CF'!F25</f>
        <v>11.58296668761785</v>
      </c>
      <c r="H28" s="47">
        <f>-'Operating Model - IS, BS, CF'!G24/'Operating Model - IS, BS, CF'!G25</f>
        <v>23.743804675915158</v>
      </c>
      <c r="I28" s="47">
        <f>-'Operating Model - IS, BS, CF'!H24/'Operating Model - IS, BS, CF'!H25</f>
        <v>26.319460705396622</v>
      </c>
      <c r="J28" s="47">
        <f>-'Operating Model - IS, BS, CF'!I24/'Operating Model - IS, BS, CF'!I25</f>
        <v>29.174516101270882</v>
      </c>
      <c r="K28" s="47">
        <f>-'Operating Model - IS, BS, CF'!J24/'Operating Model - IS, BS, CF'!J25</f>
        <v>32.339279260717909</v>
      </c>
    </row>
    <row r="31" spans="3:12" x14ac:dyDescent="0.3">
      <c r="C31" s="1" t="s">
        <v>81</v>
      </c>
      <c r="D31" s="1"/>
    </row>
    <row r="32" spans="3:12" x14ac:dyDescent="0.3">
      <c r="C32" t="s">
        <v>82</v>
      </c>
      <c r="D32" t="s">
        <v>85</v>
      </c>
      <c r="E32" s="104">
        <f>'Operating Model - IS, BS, CF'!D22+('Operating Model - IS, BS, CF'!D90)</f>
        <v>-1741</v>
      </c>
      <c r="F32" s="104">
        <f>'Operating Model - IS, BS, CF'!E22+('Operating Model - IS, BS, CF'!E90)</f>
        <v>-9476</v>
      </c>
      <c r="G32" s="104">
        <f>'Operating Model - IS, BS, CF'!F22+('Operating Model - IS, BS, CF'!F90)</f>
        <v>32791</v>
      </c>
      <c r="H32" s="104">
        <f>'Operating Model - IS, BS, CF'!G22+('Operating Model - IS, BS, CF'!G90)</f>
        <v>10779.984657931156</v>
      </c>
      <c r="I32" s="104">
        <f>'Operating Model - IS, BS, CF'!H22+('Operating Model - IS, BS, CF'!H90)</f>
        <v>11186.974673181234</v>
      </c>
      <c r="J32" s="104">
        <f>'Operating Model - IS, BS, CF'!I22+('Operating Model - IS, BS, CF'!I90)</f>
        <v>11809.908381316869</v>
      </c>
      <c r="K32" s="104">
        <f>'Operating Model - IS, BS, CF'!J22+('Operating Model - IS, BS, CF'!J90)</f>
        <v>12678.422063975609</v>
      </c>
    </row>
    <row r="33" spans="3:11" x14ac:dyDescent="0.3">
      <c r="C33" t="s">
        <v>83</v>
      </c>
      <c r="D33" t="s">
        <v>84</v>
      </c>
      <c r="E33" s="104">
        <f>E32/'Operating Model - IS, BS, CF'!D22</f>
        <v>-2.9353250606959806E-2</v>
      </c>
      <c r="F33" s="104">
        <f>F32/'Operating Model - IS, BS, CF'!E22</f>
        <v>-0.17493400284295446</v>
      </c>
      <c r="G33" s="104">
        <f>G32/'Operating Model - IS, BS, CF'!F22</f>
        <v>0.38343077642656687</v>
      </c>
      <c r="H33" s="104">
        <f>H32/'Operating Model - IS, BS, CF'!G22</f>
        <v>0.12853897525142352</v>
      </c>
      <c r="I33" s="104">
        <f>I32/'Operating Model - IS, BS, CF'!H22</f>
        <v>0.12133302008264053</v>
      </c>
      <c r="J33" s="104">
        <f>J32/'Operating Model - IS, BS, CF'!I22</f>
        <v>0.11622595963078754</v>
      </c>
      <c r="K33" s="104">
        <f>K32/'Operating Model - IS, BS, CF'!J22</f>
        <v>0.11297671027002315</v>
      </c>
    </row>
    <row r="35" spans="3:11" x14ac:dyDescent="0.3">
      <c r="C35" s="1" t="s">
        <v>87</v>
      </c>
    </row>
    <row r="36" spans="3:11" x14ac:dyDescent="0.3">
      <c r="C36" t="s">
        <v>88</v>
      </c>
      <c r="F36" s="47">
        <f>('Operating Model - IS, BS, CF'!E5/AVERAGE('Operating Model - IS, BS, CF'!D39:E39))</f>
        <v>13.706213333333332</v>
      </c>
      <c r="G36" s="47">
        <f>('Operating Model - IS, BS, CF'!F5/AVERAGE('Operating Model - IS, BS, CF'!E39:F39))</f>
        <v>12.150233054654223</v>
      </c>
      <c r="H36" s="47">
        <f>('Operating Model - IS, BS, CF'!G5/AVERAGE('Operating Model - IS, BS, CF'!F39:G39))</f>
        <v>12.502059690433404</v>
      </c>
      <c r="I36" s="47">
        <f>('Operating Model - IS, BS, CF'!H5/AVERAGE('Operating Model - IS, BS, CF'!G39:H39))</f>
        <v>13.544128423101627</v>
      </c>
      <c r="J36" s="47">
        <f>('Operating Model - IS, BS, CF'!I5/AVERAGE('Operating Model - IS, BS, CF'!H39:I39))</f>
        <v>13.544128423101629</v>
      </c>
      <c r="K36" s="47">
        <f>('Operating Model - IS, BS, CF'!J5/AVERAGE('Operating Model - IS, BS, CF'!I39:J39))</f>
        <v>13.544128423101627</v>
      </c>
    </row>
    <row r="37" spans="3:11" x14ac:dyDescent="0.3">
      <c r="C37" t="s">
        <v>89</v>
      </c>
      <c r="F37" s="47">
        <f>-'Operating Model - IS, BS, CF'!E7/AVERAGE('Operating Model - IS, BS, CF'!D56:E56)</f>
        <v>3.649989890309862</v>
      </c>
      <c r="G37" s="47">
        <f>-'Operating Model - IS, BS, CF'!F7/AVERAGE('Operating Model - IS, BS, CF'!E56:F56)</f>
        <v>3.7032099695590621</v>
      </c>
      <c r="H37" s="47">
        <f>-'Operating Model - IS, BS, CF'!G7/AVERAGE('Operating Model - IS, BS, CF'!F56:G56)</f>
        <v>3.9038554503787046</v>
      </c>
      <c r="I37" s="47">
        <f>-'Operating Model - IS, BS, CF'!H7/AVERAGE('Operating Model - IS, BS, CF'!G56:H56)</f>
        <v>3.86555122426874</v>
      </c>
      <c r="J37" s="47">
        <f>-'Operating Model - IS, BS, CF'!I7/AVERAGE('Operating Model - IS, BS, CF'!H56:I56)</f>
        <v>3.86555122426874</v>
      </c>
      <c r="K37" s="47">
        <f>-'Operating Model - IS, BS, CF'!J7/AVERAGE('Operating Model - IS, BS, CF'!I56:J56)</f>
        <v>3.8655512242687395</v>
      </c>
    </row>
    <row r="38" spans="3:11" x14ac:dyDescent="0.3">
      <c r="C38" t="s">
        <v>90</v>
      </c>
      <c r="F38" s="47">
        <f>-('Operating Model - IS, BS, CF'!E7/AVERAGE('Operating Model - IS, BS, CF'!D40:'Operating Model - IS, BS, CF'!E40))</f>
        <v>8.5838980028530667</v>
      </c>
      <c r="G38" s="47">
        <f>-('Operating Model - IS, BS, CF'!F7/AVERAGE('Operating Model - IS, BS, CF'!E40:'Operating Model - IS, BS, CF'!F40))</f>
        <v>8.9995717850656352</v>
      </c>
      <c r="H38" s="47">
        <f>-('Operating Model - IS, BS, CF'!G7/AVERAGE('Operating Model - IS, BS, CF'!F40:'Operating Model - IS, BS, CF'!G40))</f>
        <v>9.614299608259655</v>
      </c>
      <c r="I38" s="47">
        <f>-('Operating Model - IS, BS, CF'!H7/AVERAGE('Operating Model - IS, BS, CF'!G40:'Operating Model - IS, BS, CF'!H40))</f>
        <v>9.2388862243687324</v>
      </c>
      <c r="J38" s="47">
        <f>-('Operating Model - IS, BS, CF'!I7/AVERAGE('Operating Model - IS, BS, CF'!H40:'Operating Model - IS, BS, CF'!I40))</f>
        <v>9.2388862243687324</v>
      </c>
      <c r="K38" s="47">
        <f>-('Operating Model - IS, BS, CF'!J7/AVERAGE('Operating Model - IS, BS, CF'!I40:'Operating Model - IS, BS, CF'!J40))</f>
        <v>9.2388862243687324</v>
      </c>
    </row>
    <row r="39" spans="3:11" x14ac:dyDescent="0.3">
      <c r="F39" s="47"/>
      <c r="G39" s="47"/>
      <c r="H39" s="47"/>
      <c r="I39" s="47"/>
      <c r="J39" s="47"/>
      <c r="K39" s="47"/>
    </row>
    <row r="40" spans="3:11" x14ac:dyDescent="0.3">
      <c r="C40" s="1" t="s">
        <v>91</v>
      </c>
      <c r="G40" s="47"/>
      <c r="H40" s="47"/>
      <c r="I40" s="47"/>
      <c r="J40" s="47"/>
      <c r="K40" s="47"/>
    </row>
    <row r="41" spans="3:11" x14ac:dyDescent="0.3">
      <c r="C41" t="s">
        <v>92</v>
      </c>
      <c r="F41" s="47">
        <f>365/F36</f>
        <v>26.630258199201144</v>
      </c>
      <c r="G41" s="47">
        <f t="shared" ref="G41:K41" si="1">365/G36</f>
        <v>30.040576041476378</v>
      </c>
      <c r="H41" s="47">
        <f t="shared" si="1"/>
        <v>29.195189355822592</v>
      </c>
      <c r="I41" s="47">
        <f t="shared" si="1"/>
        <v>26.948947071222054</v>
      </c>
      <c r="J41" s="47">
        <f t="shared" si="1"/>
        <v>26.948947071222051</v>
      </c>
      <c r="K41" s="47">
        <f t="shared" si="1"/>
        <v>26.948947071222054</v>
      </c>
    </row>
    <row r="42" spans="3:11" x14ac:dyDescent="0.3">
      <c r="C42" t="s">
        <v>94</v>
      </c>
      <c r="F42" s="47">
        <f>365/F37</f>
        <v>100.00027697857917</v>
      </c>
      <c r="G42" s="47">
        <f t="shared" ref="G42:K42" si="2">365/G37</f>
        <v>98.563139276561259</v>
      </c>
      <c r="H42" s="47">
        <f t="shared" si="2"/>
        <v>93.497314293384534</v>
      </c>
      <c r="I42" s="47">
        <f t="shared" si="2"/>
        <v>94.423790767136538</v>
      </c>
      <c r="J42" s="47">
        <f t="shared" si="2"/>
        <v>94.423790767136538</v>
      </c>
      <c r="K42" s="47">
        <f t="shared" si="2"/>
        <v>94.423790767136552</v>
      </c>
    </row>
    <row r="43" spans="3:11" x14ac:dyDescent="0.3">
      <c r="C43" t="s">
        <v>93</v>
      </c>
      <c r="F43" s="32">
        <f>365/F38</f>
        <v>42.521474495466208</v>
      </c>
      <c r="G43" s="32">
        <f t="shared" ref="G43:K43" si="3">365/G38</f>
        <v>40.557485257876415</v>
      </c>
      <c r="H43" s="32">
        <f t="shared" si="3"/>
        <v>37.964283917928675</v>
      </c>
      <c r="I43" s="32">
        <f t="shared" si="3"/>
        <v>39.506926607372463</v>
      </c>
      <c r="J43" s="32">
        <f t="shared" si="3"/>
        <v>39.506926607372463</v>
      </c>
      <c r="K43" s="32">
        <f t="shared" si="3"/>
        <v>39.506926607372463</v>
      </c>
    </row>
    <row r="44" spans="3:11" x14ac:dyDescent="0.3">
      <c r="F44" s="47"/>
      <c r="G44" s="47"/>
      <c r="H44" s="47"/>
      <c r="I44" s="47"/>
      <c r="J44" s="47"/>
      <c r="K44" s="47"/>
    </row>
    <row r="45" spans="3:11" x14ac:dyDescent="0.3">
      <c r="C45" s="17" t="s">
        <v>95</v>
      </c>
      <c r="F45" s="47">
        <f>F41+F43-F42</f>
        <v>-30.848544283911821</v>
      </c>
      <c r="G45" s="47">
        <f t="shared" ref="G45:K45" si="4">G41+G43-G42</f>
        <v>-27.965077977208466</v>
      </c>
      <c r="H45" s="47">
        <f t="shared" si="4"/>
        <v>-26.33784101963326</v>
      </c>
      <c r="I45" s="47">
        <f t="shared" si="4"/>
        <v>-27.967917088542023</v>
      </c>
      <c r="J45" s="47">
        <f t="shared" si="4"/>
        <v>-27.967917088542023</v>
      </c>
      <c r="K45" s="47">
        <f t="shared" si="4"/>
        <v>-27.967917088542038</v>
      </c>
    </row>
    <row r="46" spans="3:11" x14ac:dyDescent="0.3">
      <c r="F46" s="47"/>
      <c r="G46" s="47"/>
      <c r="H46" s="47"/>
      <c r="I46" s="47"/>
      <c r="J46" s="47"/>
      <c r="K46" s="47"/>
    </row>
    <row r="47" spans="3:11" x14ac:dyDescent="0.3">
      <c r="F47" s="47"/>
      <c r="G47" s="47"/>
      <c r="H47" s="47"/>
      <c r="I47" s="47"/>
      <c r="J47" s="47"/>
      <c r="K47" s="47"/>
    </row>
    <row r="48" spans="3:11" x14ac:dyDescent="0.3">
      <c r="C48" s="1" t="s">
        <v>96</v>
      </c>
      <c r="F48" s="47"/>
      <c r="G48" s="47"/>
      <c r="H48" s="47"/>
      <c r="I48" s="47"/>
      <c r="J48" s="47"/>
      <c r="K48" s="47"/>
    </row>
    <row r="49" spans="3:11" x14ac:dyDescent="0.3">
      <c r="C49" t="s">
        <v>97</v>
      </c>
      <c r="F49" s="47"/>
      <c r="G49" s="47">
        <f>'Operating Model - IS, BS, CF'!F31/Assumption!E39</f>
        <v>2.929516029835705</v>
      </c>
      <c r="H49" s="47"/>
      <c r="I49" s="47"/>
      <c r="J49" s="47"/>
      <c r="K49" s="47"/>
    </row>
    <row r="50" spans="3:11" x14ac:dyDescent="0.3">
      <c r="F50" s="47"/>
      <c r="G50" s="47"/>
      <c r="H50" s="47"/>
      <c r="I50" s="47"/>
      <c r="J50" s="47"/>
      <c r="K50" s="47"/>
    </row>
    <row r="51" spans="3:11" x14ac:dyDescent="0.3">
      <c r="F51" s="47"/>
      <c r="G51" s="47"/>
      <c r="H51" s="47"/>
      <c r="I51" s="47"/>
      <c r="J51" s="47"/>
      <c r="K51" s="47"/>
    </row>
    <row r="52" spans="3:11" x14ac:dyDescent="0.3">
      <c r="F52" s="47"/>
      <c r="G52" s="47"/>
      <c r="H52" s="47"/>
      <c r="I52" s="47"/>
      <c r="J52" s="47"/>
      <c r="K52" s="47"/>
    </row>
    <row r="55" spans="3:11" x14ac:dyDescent="0.3">
      <c r="C55" s="1"/>
    </row>
    <row r="56" spans="3:11" x14ac:dyDescent="0.3">
      <c r="G56" s="47"/>
    </row>
    <row r="57" spans="3:11" x14ac:dyDescent="0.3">
      <c r="G57" s="47"/>
    </row>
    <row r="58" spans="3:11" x14ac:dyDescent="0.3">
      <c r="G58" s="47"/>
    </row>
    <row r="60" spans="3:11" x14ac:dyDescent="0.3">
      <c r="C60" s="1"/>
    </row>
    <row r="64" spans="3:11" x14ac:dyDescent="0.3">
      <c r="C64" s="1"/>
    </row>
  </sheetData>
  <mergeCells count="1">
    <mergeCell ref="E3:L3"/>
  </mergeCells>
  <pageMargins left="0.7" right="0.7" top="0.75" bottom="0.75" header="0.3" footer="0.3"/>
  <ignoredErrors>
    <ignoredError sqref="F36:G36" formulaRange="1"/>
  </ignoredErrors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span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'Ratio Analysis'!E6:L6</xm:f>
              <xm:sqref>M6</xm:sqref>
            </x14:sparkline>
            <x14:sparkline>
              <xm:f>'Ratio Analysis'!E7:L7</xm:f>
              <xm:sqref>M7</xm:sqref>
            </x14:sparkline>
            <x14:sparkline>
              <xm:f>'Ratio Analysis'!E8:L8</xm:f>
              <xm:sqref>M8</xm:sqref>
            </x14:sparkline>
            <x14:sparkline>
              <xm:f>'Ratio Analysis'!E9:L9</xm:f>
              <xm:sqref>M9</xm:sqref>
            </x14:sparkline>
            <x14:sparkline>
              <xm:f>'Ratio Analysis'!E10:L10</xm:f>
              <xm:sqref>M10</xm:sqref>
            </x14:sparkline>
          </x14:sparklines>
        </x14:sparklineGroup>
        <x14:sparklineGroup type="column" displayEmptyCellsAs="span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'Ratio Analysis'!E13:L13</xm:f>
              <xm:sqref>M13</xm:sqref>
            </x14:sparkline>
            <x14:sparkline>
              <xm:f>'Ratio Analysis'!E14:L14</xm:f>
              <xm:sqref>M14</xm:sqref>
            </x14:sparkline>
            <x14:sparkline>
              <xm:f>'Ratio Analysis'!E15:L15</xm:f>
              <xm:sqref>M15</xm:sqref>
            </x14:sparkline>
          </x14:sparklines>
        </x14:sparklineGroup>
        <x14:sparklineGroup type="column" displayEmptyCellsAs="span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'Ratio Analysis'!E18:L18</xm:f>
              <xm:sqref>M18</xm:sqref>
            </x14:sparkline>
          </x14:sparklines>
        </x14:sparklineGroup>
        <x14:sparklineGroup type="column" displayEmptyCellsAs="span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'Ratio Analysis'!E19:L19</xm:f>
              <xm:sqref>M19</xm:sqref>
            </x14:sparkline>
            <x14:sparkline>
              <xm:f>'Ratio Analysis'!E20:L20</xm:f>
              <xm:sqref>M20</xm:sqref>
            </x14:sparkline>
          </x14:sparklines>
        </x14:sparklineGroup>
        <x14:sparklineGroup type="column" displayEmptyCellsAs="span">
          <x14:colorSeries theme="5"/>
          <x14:colorNegative theme="6"/>
          <x14:colorAxis rgb="FF000000"/>
          <x14:colorMarkers theme="5" tint="-0.249977111117893"/>
          <x14:colorFirst theme="5" tint="-0.249977111117893"/>
          <x14:colorLast theme="5" tint="-0.249977111117893"/>
          <x14:colorHigh theme="5" tint="-0.249977111117893"/>
          <x14:colorLow theme="5" tint="-0.249977111117893"/>
          <x14:sparklines>
            <x14:sparkline>
              <xm:f>'Ratio Analysis'!E23:L23</xm:f>
              <xm:sqref>M23</xm:sqref>
            </x14:sparkline>
            <x14:sparkline>
              <xm:f>'Ratio Analysis'!E24:L24</xm:f>
              <xm:sqref>M24</xm:sqref>
            </x14:sparkline>
            <x14:sparkline>
              <xm:f>'Ratio Analysis'!E25:L25</xm:f>
              <xm:sqref>M25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5"/>
  <sheetViews>
    <sheetView workbookViewId="0">
      <selection activeCell="D6" sqref="D6"/>
    </sheetView>
  </sheetViews>
  <sheetFormatPr defaultRowHeight="14.4" x14ac:dyDescent="0.3"/>
  <cols>
    <col min="2" max="2" width="2.44140625" customWidth="1"/>
    <col min="3" max="3" width="31.33203125" bestFit="1" customWidth="1"/>
    <col min="7" max="11" width="9.5546875" bestFit="1" customWidth="1"/>
  </cols>
  <sheetData>
    <row r="3" spans="1:11" x14ac:dyDescent="0.3">
      <c r="A3" s="40"/>
      <c r="B3" s="40" t="s">
        <v>14</v>
      </c>
      <c r="C3" s="41" t="s">
        <v>6</v>
      </c>
      <c r="D3" s="106" t="s">
        <v>12</v>
      </c>
      <c r="E3" s="106"/>
      <c r="F3" s="106"/>
      <c r="G3" s="106"/>
      <c r="H3" s="106"/>
      <c r="I3" s="106"/>
      <c r="J3" s="106"/>
      <c r="K3" s="106"/>
    </row>
    <row r="4" spans="1:11" x14ac:dyDescent="0.3">
      <c r="A4" s="40"/>
      <c r="B4" s="40"/>
      <c r="C4" s="40"/>
      <c r="D4" s="42">
        <v>2021</v>
      </c>
      <c r="E4" s="43">
        <f t="shared" ref="E4:K4" si="0">D4+1</f>
        <v>2022</v>
      </c>
      <c r="F4" s="43">
        <f t="shared" si="0"/>
        <v>2023</v>
      </c>
      <c r="G4" s="44">
        <f t="shared" si="0"/>
        <v>2024</v>
      </c>
      <c r="H4" s="44">
        <f t="shared" si="0"/>
        <v>2025</v>
      </c>
      <c r="I4" s="44">
        <f t="shared" si="0"/>
        <v>2026</v>
      </c>
      <c r="J4" s="44">
        <f t="shared" si="0"/>
        <v>2027</v>
      </c>
      <c r="K4" s="44">
        <f t="shared" si="0"/>
        <v>2028</v>
      </c>
    </row>
    <row r="5" spans="1:11" x14ac:dyDescent="0.3">
      <c r="C5" s="40" t="s">
        <v>1</v>
      </c>
      <c r="D5">
        <f>'Operating Model - IS, BS, CF'!D5</f>
        <v>469822</v>
      </c>
      <c r="E5">
        <f>'Operating Model - IS, BS, CF'!E5</f>
        <v>513983</v>
      </c>
      <c r="F5">
        <f>'Operating Model - IS, BS, CF'!F5</f>
        <v>574785</v>
      </c>
      <c r="G5" s="32">
        <f>'Operating Model - IS, BS, CF'!G5</f>
        <v>634582.24499999988</v>
      </c>
      <c r="H5" s="32">
        <f>'Operating Model - IS, BS, CF'!H5</f>
        <v>703419.80527499993</v>
      </c>
      <c r="I5" s="32">
        <f>'Operating Model - IS, BS, CF'!I5</f>
        <v>779724.65563249239</v>
      </c>
      <c r="J5">
        <f>'Operating Model - IS, BS, CF'!J5</f>
        <v>864306.82508793531</v>
      </c>
      <c r="K5" s="32">
        <f>'Operating Model - IS, BS, CF'!K5</f>
        <v>958064.21215142729</v>
      </c>
    </row>
    <row r="6" spans="1:11" x14ac:dyDescent="0.3">
      <c r="C6" s="40" t="s">
        <v>47</v>
      </c>
      <c r="D6" s="36">
        <f>'Operating Model - IS, BS, CF'!D90</f>
        <v>-61053</v>
      </c>
      <c r="E6" s="36">
        <f>'Operating Model - IS, BS, CF'!E90</f>
        <v>-63645</v>
      </c>
      <c r="F6" s="36">
        <f>'Operating Model - IS, BS, CF'!F90</f>
        <v>-52729</v>
      </c>
      <c r="G6" s="36">
        <f>G5*G7</f>
        <v>-73085.509343755097</v>
      </c>
      <c r="H6" s="36">
        <f>H5*H7</f>
        <v>-81013.604077448472</v>
      </c>
      <c r="I6" s="36">
        <f>I5*I7</f>
        <v>-89801.714519738511</v>
      </c>
      <c r="J6" s="36">
        <f>J5*J7</f>
        <v>-99543.132570366215</v>
      </c>
      <c r="K6" s="36">
        <f>K5*K7</f>
        <v>-110341.27015184693</v>
      </c>
    </row>
    <row r="7" spans="1:11" x14ac:dyDescent="0.3">
      <c r="C7" s="16" t="s">
        <v>119</v>
      </c>
      <c r="D7" s="46">
        <f>D6/D5</f>
        <v>-0.12994921480901278</v>
      </c>
      <c r="E7" s="46">
        <f>E6/E5</f>
        <v>-0.12382705264571008</v>
      </c>
      <c r="F7" s="46">
        <f>F6/F5</f>
        <v>-9.1736910322990334E-2</v>
      </c>
      <c r="G7" s="24">
        <f>AVERAGE(D7:F7)</f>
        <v>-0.11517105925923772</v>
      </c>
      <c r="H7" s="24">
        <f>G7</f>
        <v>-0.11517105925923772</v>
      </c>
      <c r="I7" s="24">
        <f>H7</f>
        <v>-0.11517105925923772</v>
      </c>
      <c r="J7" s="24">
        <f>I7</f>
        <v>-0.11517105925923772</v>
      </c>
      <c r="K7" s="24">
        <f>J7</f>
        <v>-0.11517105925923772</v>
      </c>
    </row>
    <row r="8" spans="1:11" x14ac:dyDescent="0.3">
      <c r="C8" s="40"/>
    </row>
    <row r="9" spans="1:11" x14ac:dyDescent="0.3">
      <c r="C9" s="45" t="s">
        <v>110</v>
      </c>
      <c r="E9" s="34">
        <f>D12</f>
        <v>160281</v>
      </c>
      <c r="F9" s="34">
        <f t="shared" ref="F9:K9" si="1">E12</f>
        <v>186715</v>
      </c>
      <c r="G9" s="34">
        <f>F12</f>
        <v>204177</v>
      </c>
      <c r="H9" s="34">
        <f t="shared" si="1"/>
        <v>223202.66360879352</v>
      </c>
      <c r="I9" s="34">
        <f t="shared" si="1"/>
        <v>245054.56366787749</v>
      </c>
      <c r="J9" s="34">
        <f t="shared" si="1"/>
        <v>269867.48710038664</v>
      </c>
      <c r="K9" s="34">
        <f t="shared" si="1"/>
        <v>297784.63074295002</v>
      </c>
    </row>
    <row r="10" spans="1:11" x14ac:dyDescent="0.3">
      <c r="B10" t="s">
        <v>117</v>
      </c>
      <c r="C10" s="40" t="s">
        <v>111</v>
      </c>
      <c r="E10" s="36">
        <f t="shared" ref="E10:K10" si="2">-E6</f>
        <v>63645</v>
      </c>
      <c r="F10" s="36">
        <f t="shared" si="2"/>
        <v>52729</v>
      </c>
      <c r="G10" s="36">
        <f>-G6</f>
        <v>73085.509343755097</v>
      </c>
      <c r="H10" s="36">
        <f t="shared" si="2"/>
        <v>81013.604077448472</v>
      </c>
      <c r="I10" s="36">
        <f t="shared" si="2"/>
        <v>89801.714519738511</v>
      </c>
      <c r="J10" s="36">
        <f t="shared" si="2"/>
        <v>99543.132570366215</v>
      </c>
      <c r="K10" s="36">
        <f t="shared" si="2"/>
        <v>110341.27015184693</v>
      </c>
    </row>
    <row r="11" spans="1:11" x14ac:dyDescent="0.3">
      <c r="B11" t="s">
        <v>118</v>
      </c>
      <c r="C11" s="40" t="s">
        <v>112</v>
      </c>
      <c r="G11" s="32">
        <f>-G14</f>
        <v>-54059.845734961564</v>
      </c>
      <c r="H11" s="32">
        <f>-H14</f>
        <v>-59161.704018364508</v>
      </c>
      <c r="I11" s="32">
        <f>-I14</f>
        <v>-64988.791087229387</v>
      </c>
      <c r="J11" s="32">
        <f>-J14</f>
        <v>-71625.988927802799</v>
      </c>
      <c r="K11" s="32">
        <f>-K14</f>
        <v>-79056.744655255796</v>
      </c>
    </row>
    <row r="12" spans="1:11" x14ac:dyDescent="0.3">
      <c r="C12" s="45" t="s">
        <v>113</v>
      </c>
      <c r="D12" s="34">
        <f>'Operating Model - IS, BS, CF'!D45</f>
        <v>160281</v>
      </c>
      <c r="E12" s="34">
        <f>'Operating Model - IS, BS, CF'!E45</f>
        <v>186715</v>
      </c>
      <c r="F12" s="34">
        <f>'Operating Model - IS, BS, CF'!F45</f>
        <v>204177</v>
      </c>
      <c r="G12" s="34">
        <f>SUM(G9:G11)</f>
        <v>223202.66360879352</v>
      </c>
      <c r="H12" s="34">
        <f>SUM(H9:H11)</f>
        <v>245054.56366787749</v>
      </c>
      <c r="I12" s="34">
        <f>SUM(I9:I11)</f>
        <v>269867.48710038664</v>
      </c>
      <c r="J12" s="34">
        <f>SUM(J9:J11)</f>
        <v>297784.63074295002</v>
      </c>
      <c r="K12" s="34">
        <f>SUM(K9:K11)</f>
        <v>329069.15623954113</v>
      </c>
    </row>
    <row r="13" spans="1:11" x14ac:dyDescent="0.3">
      <c r="C13" s="40"/>
    </row>
    <row r="14" spans="1:11" x14ac:dyDescent="0.3">
      <c r="C14" s="40" t="s">
        <v>6</v>
      </c>
      <c r="D14" s="34">
        <f>'Operating Model - IS, BS, CF'!D85</f>
        <v>34433</v>
      </c>
      <c r="E14" s="34">
        <f>'Operating Model - IS, BS, CF'!E85</f>
        <v>41921</v>
      </c>
      <c r="F14" s="34">
        <f>'Operating Model - IS, BS, CF'!F85</f>
        <v>48663</v>
      </c>
      <c r="G14" s="32">
        <f>SUM(G16,Assumption!G13)</f>
        <v>54059.845734961564</v>
      </c>
      <c r="H14" s="32">
        <f>SUM(H16,Assumption!H13)</f>
        <v>59161.704018364508</v>
      </c>
      <c r="I14" s="32">
        <f>SUM(I16,Assumption!I13)</f>
        <v>64988.791087229387</v>
      </c>
      <c r="J14" s="32">
        <f>SUM(J16,Assumption!J13)</f>
        <v>71625.988927802799</v>
      </c>
      <c r="K14" s="32">
        <f>SUM(K16,Assumption!K13)</f>
        <v>79056.744655255796</v>
      </c>
    </row>
    <row r="15" spans="1:11" x14ac:dyDescent="0.3">
      <c r="C15" s="40"/>
    </row>
    <row r="16" spans="1:11" x14ac:dyDescent="0.3">
      <c r="C16" s="40" t="s">
        <v>112</v>
      </c>
      <c r="D16" s="34">
        <f>D14-Assumption!D13</f>
        <v>33921</v>
      </c>
      <c r="E16" s="34">
        <f>E14-Assumption!E13</f>
        <v>41317</v>
      </c>
      <c r="F16" s="34">
        <f>F14-Assumption!F13</f>
        <v>47957</v>
      </c>
      <c r="G16" s="32">
        <f>SUM(G9:G10)*Assumption!G16</f>
        <v>53344.845734961564</v>
      </c>
      <c r="H16" s="32">
        <f>SUM(H9:H10)*Assumption!H16</f>
        <v>58530.704018364508</v>
      </c>
      <c r="I16" s="32">
        <f>SUM(I9:I10)*Assumption!I16</f>
        <v>64425.791087229387</v>
      </c>
      <c r="J16" s="32">
        <f>SUM(J9:J10)*Assumption!J16</f>
        <v>71073.988927802799</v>
      </c>
      <c r="K16" s="32">
        <f>SUM(K9:K10)*Assumption!K16</f>
        <v>78522.744655255796</v>
      </c>
    </row>
    <row r="19" spans="2:11" x14ac:dyDescent="0.3">
      <c r="C19" s="40"/>
    </row>
    <row r="20" spans="2:11" x14ac:dyDescent="0.3">
      <c r="C20" s="40"/>
    </row>
    <row r="21" spans="2:11" x14ac:dyDescent="0.3">
      <c r="C21" s="45"/>
      <c r="F21" s="34"/>
    </row>
    <row r="22" spans="2:11" x14ac:dyDescent="0.3">
      <c r="C22" s="45" t="s">
        <v>206</v>
      </c>
      <c r="E22" s="75">
        <f>D25</f>
        <v>5107</v>
      </c>
      <c r="F22" s="75">
        <f>E25</f>
        <v>6097</v>
      </c>
      <c r="G22" s="75">
        <f>F25</f>
        <v>7687</v>
      </c>
      <c r="H22" s="34">
        <f>G25</f>
        <v>6972</v>
      </c>
      <c r="I22" s="34">
        <f t="shared" ref="I22:K22" si="3">H25</f>
        <v>6341</v>
      </c>
      <c r="J22" s="34">
        <f t="shared" si="3"/>
        <v>5778</v>
      </c>
      <c r="K22" s="34">
        <f t="shared" si="3"/>
        <v>5226</v>
      </c>
    </row>
    <row r="23" spans="2:11" x14ac:dyDescent="0.3">
      <c r="B23" t="s">
        <v>117</v>
      </c>
      <c r="C23" s="40" t="s">
        <v>205</v>
      </c>
      <c r="F23" s="34"/>
      <c r="G23" s="18">
        <f>Assumption!G11</f>
        <v>0</v>
      </c>
      <c r="H23" s="18">
        <f>Assumption!H11</f>
        <v>0</v>
      </c>
      <c r="I23" s="18">
        <f>Assumption!I11</f>
        <v>0</v>
      </c>
      <c r="J23" s="18">
        <f>Assumption!J11</f>
        <v>0</v>
      </c>
      <c r="K23" s="18">
        <f>Assumption!K11</f>
        <v>0</v>
      </c>
    </row>
    <row r="24" spans="2:11" x14ac:dyDescent="0.3">
      <c r="B24" t="s">
        <v>118</v>
      </c>
      <c r="C24" s="40" t="s">
        <v>114</v>
      </c>
      <c r="D24" s="34"/>
      <c r="E24" s="34"/>
      <c r="F24" s="34"/>
      <c r="G24">
        <f>-Assumption!G13</f>
        <v>-715</v>
      </c>
      <c r="H24">
        <f>-Assumption!H13</f>
        <v>-631</v>
      </c>
      <c r="I24">
        <f>-Assumption!I13</f>
        <v>-563</v>
      </c>
      <c r="J24">
        <f>-Assumption!J13</f>
        <v>-552</v>
      </c>
      <c r="K24">
        <f>-Assumption!K13</f>
        <v>-534</v>
      </c>
    </row>
    <row r="25" spans="2:11" x14ac:dyDescent="0.3">
      <c r="C25" s="45" t="s">
        <v>207</v>
      </c>
      <c r="D25" s="35">
        <v>5107</v>
      </c>
      <c r="E25" s="35">
        <v>6097</v>
      </c>
      <c r="F25" s="35">
        <v>7687</v>
      </c>
      <c r="G25" s="75">
        <f>SUM(G22:G24)</f>
        <v>6972</v>
      </c>
      <c r="H25" s="75">
        <f t="shared" ref="H25:K25" si="4">SUM(H22:H24)</f>
        <v>6341</v>
      </c>
      <c r="I25" s="75">
        <f t="shared" si="4"/>
        <v>5778</v>
      </c>
      <c r="J25" s="75">
        <f t="shared" si="4"/>
        <v>5226</v>
      </c>
      <c r="K25" s="75">
        <f t="shared" si="4"/>
        <v>4692</v>
      </c>
    </row>
  </sheetData>
  <mergeCells count="1">
    <mergeCell ref="D3:K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36"/>
  <sheetViews>
    <sheetView topLeftCell="A7" workbookViewId="0">
      <selection activeCell="E28" sqref="E28"/>
    </sheetView>
  </sheetViews>
  <sheetFormatPr defaultRowHeight="14.4" x14ac:dyDescent="0.3"/>
  <cols>
    <col min="2" max="2" width="2.88671875" customWidth="1"/>
    <col min="3" max="3" width="38.44140625" bestFit="1" customWidth="1"/>
    <col min="4" max="4" width="9.5546875" bestFit="1" customWidth="1"/>
    <col min="5" max="6" width="15.6640625" bestFit="1" customWidth="1"/>
    <col min="7" max="7" width="14.6640625" bestFit="1" customWidth="1"/>
    <col min="8" max="11" width="10.33203125" bestFit="1" customWidth="1"/>
    <col min="13" max="13" width="17.44140625" bestFit="1" customWidth="1"/>
  </cols>
  <sheetData>
    <row r="3" spans="2:13" x14ac:dyDescent="0.3">
      <c r="B3" t="s">
        <v>14</v>
      </c>
      <c r="C3" s="7" t="s">
        <v>120</v>
      </c>
      <c r="D3" s="105" t="s">
        <v>12</v>
      </c>
      <c r="E3" s="105"/>
      <c r="F3" s="105"/>
      <c r="G3" s="105"/>
      <c r="H3" s="105"/>
      <c r="I3" s="105"/>
      <c r="J3" s="105"/>
      <c r="K3" s="105"/>
    </row>
    <row r="4" spans="2:13" x14ac:dyDescent="0.3">
      <c r="D4" s="37">
        <v>2021</v>
      </c>
      <c r="E4" s="38">
        <f>D4+1</f>
        <v>2022</v>
      </c>
      <c r="F4" s="38">
        <f>E4+1</f>
        <v>2023</v>
      </c>
      <c r="G4" s="39">
        <f>F4+1</f>
        <v>2024</v>
      </c>
      <c r="H4" s="39">
        <f t="shared" ref="H4:K4" si="0">G4+1</f>
        <v>2025</v>
      </c>
      <c r="I4" s="39">
        <f t="shared" si="0"/>
        <v>2026</v>
      </c>
      <c r="J4" s="39">
        <f t="shared" si="0"/>
        <v>2027</v>
      </c>
      <c r="K4" s="39">
        <f t="shared" si="0"/>
        <v>2028</v>
      </c>
    </row>
    <row r="5" spans="2:13" x14ac:dyDescent="0.3">
      <c r="C5" t="s">
        <v>1</v>
      </c>
      <c r="D5" s="32">
        <f>'Operating Model - IS, BS, CF'!D5</f>
        <v>469822</v>
      </c>
      <c r="E5" s="32">
        <f>'Operating Model - IS, BS, CF'!E5</f>
        <v>513983</v>
      </c>
      <c r="F5" s="32">
        <f>'Operating Model - IS, BS, CF'!F5</f>
        <v>574785</v>
      </c>
      <c r="G5" s="32">
        <f>'Operating Model - IS, BS, CF'!G5</f>
        <v>634582.24499999988</v>
      </c>
      <c r="H5" s="32">
        <f>'Operating Model - IS, BS, CF'!H5</f>
        <v>703419.80527499993</v>
      </c>
      <c r="I5" s="32">
        <f>'Operating Model - IS, BS, CF'!I5</f>
        <v>779724.65563249239</v>
      </c>
      <c r="J5" s="32">
        <f>'Operating Model - IS, BS, CF'!J5</f>
        <v>864306.82508793531</v>
      </c>
      <c r="K5" s="32">
        <f>'Operating Model - IS, BS, CF'!K5</f>
        <v>958064.21215142729</v>
      </c>
    </row>
    <row r="6" spans="2:13" x14ac:dyDescent="0.3">
      <c r="C6" t="s">
        <v>121</v>
      </c>
      <c r="D6" s="36">
        <f>'Operating Model - IS, BS, CF'!D7</f>
        <v>-272344</v>
      </c>
      <c r="E6" s="36">
        <f>'Operating Model - IS, BS, CF'!E7</f>
        <v>-288831</v>
      </c>
      <c r="F6" s="36">
        <f>'Operating Model - IS, BS, CF'!F7</f>
        <v>-304739</v>
      </c>
      <c r="G6" s="36">
        <f>'Operating Model - IS, BS, CF'!G7</f>
        <v>-353631.65241349558</v>
      </c>
      <c r="H6" s="36">
        <f>'Operating Model - IS, BS, CF'!H7</f>
        <v>-391992.54318843666</v>
      </c>
      <c r="I6" s="36">
        <f>'Operating Model - IS, BS, CF'!I7</f>
        <v>-434514.7072289458</v>
      </c>
      <c r="J6" s="36">
        <f>'Operating Model - IS, BS, CF'!J7</f>
        <v>-481649.54685756884</v>
      </c>
      <c r="K6" s="36">
        <f>'Operating Model - IS, BS, CF'!K7</f>
        <v>-533897.43115385005</v>
      </c>
    </row>
    <row r="8" spans="2:13" x14ac:dyDescent="0.3">
      <c r="C8" s="1" t="s">
        <v>122</v>
      </c>
    </row>
    <row r="9" spans="2:13" x14ac:dyDescent="0.3">
      <c r="C9" t="s">
        <v>18</v>
      </c>
      <c r="D9" s="34">
        <f>'Operating Model - IS, BS, CF'!D39</f>
        <v>32640</v>
      </c>
      <c r="E9" s="34">
        <f>'Operating Model - IS, BS, CF'!E39</f>
        <v>42360</v>
      </c>
      <c r="F9" s="34">
        <f>'Operating Model - IS, BS, CF'!F39</f>
        <v>52253</v>
      </c>
      <c r="G9" s="32">
        <f>Assumption!G20*G5/G36</f>
        <v>49263.431806126035</v>
      </c>
      <c r="H9" s="32">
        <f>Assumption!H20*H5/H36</f>
        <v>54607.379707327651</v>
      </c>
      <c r="I9" s="32">
        <f>Assumption!I20*I5/I36</f>
        <v>60531.022894134709</v>
      </c>
      <c r="J9" s="32">
        <f>Assumption!J20*J5/J36</f>
        <v>67097.244955677597</v>
      </c>
      <c r="K9" s="32">
        <f>Assumption!K20*K5/K36</f>
        <v>74375.750902409374</v>
      </c>
    </row>
    <row r="10" spans="2:13" x14ac:dyDescent="0.3">
      <c r="C10" t="s">
        <v>19</v>
      </c>
      <c r="D10" s="34">
        <f>'Operating Model - IS, BS, CF'!D40</f>
        <v>32891</v>
      </c>
      <c r="E10" s="34">
        <f>'Operating Model - IS, BS, CF'!E40</f>
        <v>34405</v>
      </c>
      <c r="F10" s="34">
        <f>'Operating Model - IS, BS, CF'!F40</f>
        <v>33318</v>
      </c>
      <c r="G10" s="32">
        <f>-Assumption!G21*G6/G36</f>
        <v>40245.68468269705</v>
      </c>
      <c r="H10" s="32">
        <f>-Assumption!H21*H6/H36</f>
        <v>44611.414683784307</v>
      </c>
      <c r="I10" s="32">
        <f>-Assumption!I21*I6/I36</f>
        <v>49450.725854943885</v>
      </c>
      <c r="J10" s="32">
        <f>-Assumption!J21*J6/J36</f>
        <v>54814.990847391331</v>
      </c>
      <c r="K10" s="32">
        <f>-Assumption!K21*K6/K36</f>
        <v>60761.15506197769</v>
      </c>
    </row>
    <row r="11" spans="2:13" x14ac:dyDescent="0.3">
      <c r="C11" t="s">
        <v>123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2:13" x14ac:dyDescent="0.3">
      <c r="C12" s="1" t="s">
        <v>124</v>
      </c>
      <c r="D12" s="34">
        <f t="shared" ref="D12:K12" si="1">SUM(D9:D11)</f>
        <v>65531</v>
      </c>
      <c r="E12" s="34">
        <f t="shared" si="1"/>
        <v>76765</v>
      </c>
      <c r="F12" s="34">
        <f t="shared" si="1"/>
        <v>85571</v>
      </c>
      <c r="G12" s="34">
        <f t="shared" si="1"/>
        <v>89509.116488823085</v>
      </c>
      <c r="H12" s="34">
        <f t="shared" si="1"/>
        <v>99218.794391111966</v>
      </c>
      <c r="I12" s="34">
        <f t="shared" si="1"/>
        <v>109981.7487490786</v>
      </c>
      <c r="J12" s="34">
        <f t="shared" si="1"/>
        <v>121912.23580306894</v>
      </c>
      <c r="K12" s="34">
        <f t="shared" si="1"/>
        <v>135136.90596438706</v>
      </c>
    </row>
    <row r="14" spans="2:13" x14ac:dyDescent="0.3">
      <c r="C14" s="1" t="s">
        <v>125</v>
      </c>
      <c r="D14" s="46"/>
      <c r="E14" s="46"/>
      <c r="F14" s="46"/>
    </row>
    <row r="15" spans="2:13" x14ac:dyDescent="0.3">
      <c r="C15" t="s">
        <v>29</v>
      </c>
      <c r="D15" s="34">
        <f>'Operating Model - IS, BS, CF'!D56</f>
        <v>78664</v>
      </c>
      <c r="E15" s="34">
        <f>'Operating Model - IS, BS, CF'!E56</f>
        <v>79600</v>
      </c>
      <c r="F15" s="34">
        <f>'Operating Model - IS, BS, CF'!F56</f>
        <v>84981</v>
      </c>
      <c r="G15" s="32">
        <f>-Assumption!G23*G6/G36</f>
        <v>96189.464382430218</v>
      </c>
      <c r="H15" s="32">
        <f>-Assumption!H23*H6/H36</f>
        <v>106623.80619457076</v>
      </c>
      <c r="I15" s="32">
        <f>-Assumption!I23*I6/I36</f>
        <v>118190.03380887896</v>
      </c>
      <c r="J15" s="32">
        <f>-Assumption!J23*J6/J36</f>
        <v>131010.93076956055</v>
      </c>
      <c r="K15" s="32">
        <f>-Assumption!K23*K6/K36</f>
        <v>145222.5998078796</v>
      </c>
      <c r="M15" s="100">
        <f>SUM(H9:H10)-H15</f>
        <v>-7405.011803458794</v>
      </c>
    </row>
    <row r="16" spans="2:13" x14ac:dyDescent="0.3">
      <c r="C16" t="s">
        <v>128</v>
      </c>
      <c r="D16" s="34">
        <f>'Operating Model - IS, BS, CF'!D58</f>
        <v>51775</v>
      </c>
      <c r="E16" s="34">
        <f>'Operating Model - IS, BS, CF'!E58</f>
        <v>62566</v>
      </c>
      <c r="F16" s="34">
        <f>'Operating Model - IS, BS, CF'!F58</f>
        <v>64709</v>
      </c>
      <c r="G16" s="34">
        <f>'Operating Model - IS, BS, CF'!G58</f>
        <v>64709</v>
      </c>
      <c r="H16" s="34">
        <f>'Operating Model - IS, BS, CF'!H58</f>
        <v>64709</v>
      </c>
      <c r="I16" s="34">
        <f>'Operating Model - IS, BS, CF'!I58</f>
        <v>64709</v>
      </c>
      <c r="J16" s="34">
        <f>'Operating Model - IS, BS, CF'!J58</f>
        <v>64709</v>
      </c>
      <c r="K16" s="34">
        <f>'Operating Model - IS, BS, CF'!K58</f>
        <v>64709</v>
      </c>
    </row>
    <row r="17" spans="3:11" x14ac:dyDescent="0.3">
      <c r="C17" t="s">
        <v>129</v>
      </c>
      <c r="D17" s="34">
        <f>'Operating Model - IS, BS, CF'!D59</f>
        <v>11827</v>
      </c>
      <c r="E17" s="34">
        <f>'Operating Model - IS, BS, CF'!E59</f>
        <v>13227</v>
      </c>
      <c r="F17" s="34">
        <f>'Operating Model - IS, BS, CF'!F59</f>
        <v>15227</v>
      </c>
      <c r="G17" s="32">
        <f>G5*G18</f>
        <v>16372.078590239835</v>
      </c>
      <c r="H17" s="32">
        <f>H5*H18</f>
        <v>18294.948639063026</v>
      </c>
      <c r="I17" s="32">
        <f>I5*I18</f>
        <v>20350.812603399103</v>
      </c>
      <c r="J17" s="32">
        <f>J5*J18</f>
        <v>22445.573062269192</v>
      </c>
      <c r="K17" s="32">
        <f>K5*K18</f>
        <v>24934.587717178325</v>
      </c>
    </row>
    <row r="18" spans="3:11" x14ac:dyDescent="0.3">
      <c r="C18" t="s">
        <v>131</v>
      </c>
      <c r="D18" s="46">
        <f>D17/D5</f>
        <v>2.5173363529166364E-2</v>
      </c>
      <c r="E18" s="46">
        <f>E17/E5</f>
        <v>2.5734314169923909E-2</v>
      </c>
      <c r="F18" s="46">
        <f>F17/F5</f>
        <v>2.6491644701932028E-2</v>
      </c>
      <c r="G18" s="24">
        <f>AVERAGE(D18:F18)</f>
        <v>2.5799774133674097E-2</v>
      </c>
      <c r="H18" s="24">
        <f t="shared" ref="H18:K18" si="2">AVERAGE(E18:G18)</f>
        <v>2.6008577668510013E-2</v>
      </c>
      <c r="I18" s="24">
        <f t="shared" si="2"/>
        <v>2.6099998834705377E-2</v>
      </c>
      <c r="J18" s="24">
        <f t="shared" si="2"/>
        <v>2.5969450212296494E-2</v>
      </c>
      <c r="K18" s="24">
        <f t="shared" si="2"/>
        <v>2.6026008905170626E-2</v>
      </c>
    </row>
    <row r="19" spans="3:11" x14ac:dyDescent="0.3">
      <c r="C19" s="1" t="s">
        <v>124</v>
      </c>
      <c r="D19" s="34">
        <f>SUM(D15:D17)</f>
        <v>142266</v>
      </c>
      <c r="E19" s="34">
        <f>SUM(E15:E17)</f>
        <v>155393</v>
      </c>
      <c r="F19" s="34">
        <f>SUM(F15:F17)</f>
        <v>164917</v>
      </c>
      <c r="G19" s="34">
        <f t="shared" ref="G19" si="3">SUM(G15:G17)</f>
        <v>177270.54297267005</v>
      </c>
      <c r="H19" s="34">
        <f t="shared" ref="H19" si="4">SUM(H15:H17)</f>
        <v>189627.75483363378</v>
      </c>
      <c r="I19" s="34">
        <f t="shared" ref="I19" si="5">SUM(I15:I17)</f>
        <v>203249.84641227807</v>
      </c>
      <c r="J19" s="34">
        <f t="shared" ref="J19" si="6">SUM(J15:J17)</f>
        <v>218165.50383182976</v>
      </c>
      <c r="K19" s="34">
        <f t="shared" ref="K19" si="7">SUM(K15:K17)</f>
        <v>234866.18752505793</v>
      </c>
    </row>
    <row r="20" spans="3:11" s="49" customFormat="1" x14ac:dyDescent="0.3"/>
    <row r="22" spans="3:11" x14ac:dyDescent="0.3">
      <c r="C22" s="1" t="s">
        <v>126</v>
      </c>
      <c r="D22" s="34">
        <f>D12-D19</f>
        <v>-76735</v>
      </c>
      <c r="E22" s="34">
        <f>E12-E19</f>
        <v>-78628</v>
      </c>
      <c r="F22" s="34">
        <f>F12-F19</f>
        <v>-79346</v>
      </c>
      <c r="G22" s="34">
        <f>G12-G19</f>
        <v>-87761.426483846968</v>
      </c>
      <c r="H22" s="34">
        <f>H12-H19</f>
        <v>-90408.960442521813</v>
      </c>
      <c r="I22" s="34">
        <f t="shared" ref="I22:J22" si="8">I12-I19</f>
        <v>-93268.097663199471</v>
      </c>
      <c r="J22" s="34">
        <f t="shared" si="8"/>
        <v>-96253.268028760824</v>
      </c>
      <c r="K22" s="34">
        <f>K12-K19</f>
        <v>-99729.281560670875</v>
      </c>
    </row>
    <row r="23" spans="3:11" x14ac:dyDescent="0.3">
      <c r="C23" s="16" t="s">
        <v>127</v>
      </c>
      <c r="E23" s="34">
        <f>E22-D22</f>
        <v>-1893</v>
      </c>
      <c r="F23" s="34">
        <f>F22-E22</f>
        <v>-718</v>
      </c>
      <c r="G23" s="34">
        <f>G22-F22</f>
        <v>-8415.426483846968</v>
      </c>
      <c r="H23" s="34">
        <f>H22-G22</f>
        <v>-2647.5339586748451</v>
      </c>
      <c r="I23" s="34">
        <f>I22-H22</f>
        <v>-2859.1372206776578</v>
      </c>
      <c r="J23" s="34">
        <f t="shared" ref="J23" si="9">J22-I22</f>
        <v>-2985.1703655613528</v>
      </c>
      <c r="K23" s="34">
        <f>K22-J22</f>
        <v>-3476.0135319100518</v>
      </c>
    </row>
    <row r="25" spans="3:11" x14ac:dyDescent="0.3">
      <c r="C25" t="s">
        <v>88</v>
      </c>
      <c r="E25" s="47">
        <f t="shared" ref="E25:K25" si="10">E5/AVERAGE(D9:E9)</f>
        <v>13.706213333333332</v>
      </c>
      <c r="F25" s="47">
        <f t="shared" si="10"/>
        <v>12.150233054654223</v>
      </c>
      <c r="G25" s="47">
        <f t="shared" si="10"/>
        <v>12.502059690433404</v>
      </c>
      <c r="H25" s="47">
        <f t="shared" si="10"/>
        <v>13.544128423101627</v>
      </c>
      <c r="I25" s="47">
        <f t="shared" si="10"/>
        <v>13.544128423101629</v>
      </c>
      <c r="J25" s="47">
        <f t="shared" si="10"/>
        <v>13.544128423101627</v>
      </c>
      <c r="K25" s="47">
        <f t="shared" si="10"/>
        <v>13.544128423101627</v>
      </c>
    </row>
    <row r="26" spans="3:11" x14ac:dyDescent="0.3">
      <c r="C26" t="s">
        <v>90</v>
      </c>
      <c r="E26" s="47">
        <f t="shared" ref="E26:K26" si="11">-E6/AVERAGE(D10:E10)</f>
        <v>8.5838980028530667</v>
      </c>
      <c r="F26" s="47">
        <f t="shared" si="11"/>
        <v>8.9995717850656352</v>
      </c>
      <c r="G26" s="47">
        <f t="shared" si="11"/>
        <v>9.614299608259655</v>
      </c>
      <c r="H26" s="47">
        <f t="shared" si="11"/>
        <v>9.2388862243687324</v>
      </c>
      <c r="I26" s="47">
        <f t="shared" si="11"/>
        <v>9.2388862243687324</v>
      </c>
      <c r="J26" s="47">
        <f t="shared" si="11"/>
        <v>9.2388862243687324</v>
      </c>
      <c r="K26" s="47">
        <f t="shared" si="11"/>
        <v>9.2388862243687324</v>
      </c>
    </row>
    <row r="28" spans="3:11" x14ac:dyDescent="0.3">
      <c r="C28" t="s">
        <v>89</v>
      </c>
      <c r="E28" s="47">
        <f t="shared" ref="E28:K28" si="12">-E6/AVERAGE(D15:E15)</f>
        <v>3.649989890309862</v>
      </c>
      <c r="F28" s="47">
        <f t="shared" si="12"/>
        <v>3.7032099695590621</v>
      </c>
      <c r="G28" s="47">
        <f t="shared" si="12"/>
        <v>3.9038554503787046</v>
      </c>
      <c r="H28" s="47">
        <f t="shared" si="12"/>
        <v>3.86555122426874</v>
      </c>
      <c r="I28" s="47">
        <f t="shared" si="12"/>
        <v>3.86555122426874</v>
      </c>
      <c r="J28" s="47">
        <f t="shared" si="12"/>
        <v>3.8655512242687395</v>
      </c>
      <c r="K28" s="47">
        <f t="shared" si="12"/>
        <v>3.8655512242687395</v>
      </c>
    </row>
    <row r="36" spans="3:11" x14ac:dyDescent="0.3">
      <c r="C36" t="s">
        <v>130</v>
      </c>
      <c r="D36" s="18">
        <v>365</v>
      </c>
      <c r="E36" s="18">
        <v>365</v>
      </c>
      <c r="F36" s="18">
        <v>365</v>
      </c>
      <c r="G36" s="18">
        <v>365</v>
      </c>
      <c r="H36" s="18">
        <v>365</v>
      </c>
      <c r="I36" s="18">
        <v>365</v>
      </c>
      <c r="J36" s="18">
        <v>365</v>
      </c>
      <c r="K36" s="18">
        <v>365</v>
      </c>
    </row>
  </sheetData>
  <mergeCells count="1">
    <mergeCell ref="D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29"/>
  <sheetViews>
    <sheetView topLeftCell="J1" workbookViewId="0">
      <selection activeCell="P20" sqref="P20"/>
    </sheetView>
  </sheetViews>
  <sheetFormatPr defaultRowHeight="14.4" x14ac:dyDescent="0.3"/>
  <cols>
    <col min="2" max="2" width="2.6640625" customWidth="1"/>
    <col min="3" max="3" width="38.109375" bestFit="1" customWidth="1"/>
    <col min="7" max="7" width="12.5546875" bestFit="1" customWidth="1"/>
    <col min="8" max="8" width="13.77734375" bestFit="1" customWidth="1"/>
    <col min="9" max="11" width="14.6640625" bestFit="1" customWidth="1"/>
    <col min="19" max="19" width="29.77734375" bestFit="1" customWidth="1"/>
    <col min="21" max="21" width="17.77734375" bestFit="1" customWidth="1"/>
    <col min="22" max="22" width="17.21875" bestFit="1" customWidth="1"/>
  </cols>
  <sheetData>
    <row r="3" spans="2:24" x14ac:dyDescent="0.3">
      <c r="B3" t="s">
        <v>14</v>
      </c>
      <c r="C3" s="7" t="s">
        <v>132</v>
      </c>
      <c r="D3" s="105" t="s">
        <v>12</v>
      </c>
      <c r="E3" s="105"/>
      <c r="F3" s="105"/>
      <c r="G3" s="105"/>
      <c r="H3" s="105"/>
      <c r="I3" s="105"/>
      <c r="J3" s="105"/>
      <c r="K3" s="105"/>
      <c r="T3" s="1" t="s">
        <v>149</v>
      </c>
      <c r="U3" s="1" t="s">
        <v>150</v>
      </c>
      <c r="V3" s="1" t="s">
        <v>151</v>
      </c>
      <c r="X3" s="1" t="s">
        <v>7</v>
      </c>
    </row>
    <row r="4" spans="2:24" x14ac:dyDescent="0.3">
      <c r="D4" s="37">
        <v>2021</v>
      </c>
      <c r="E4" s="38">
        <f>D4+1</f>
        <v>2022</v>
      </c>
      <c r="F4" s="38">
        <f>E4+1</f>
        <v>2023</v>
      </c>
      <c r="G4" s="39">
        <f>F4+1</f>
        <v>2024</v>
      </c>
      <c r="H4" s="39">
        <f t="shared" ref="H4:K4" si="0">G4+1</f>
        <v>2025</v>
      </c>
      <c r="I4" s="39">
        <f t="shared" si="0"/>
        <v>2026</v>
      </c>
      <c r="J4" s="39">
        <f t="shared" si="0"/>
        <v>2027</v>
      </c>
      <c r="K4" s="39">
        <f t="shared" si="0"/>
        <v>2028</v>
      </c>
      <c r="S4" t="s">
        <v>148</v>
      </c>
      <c r="T4">
        <v>2044</v>
      </c>
      <c r="U4" s="51">
        <v>3.7999999999999999E-2</v>
      </c>
      <c r="V4">
        <v>4000</v>
      </c>
      <c r="X4">
        <f>U4*V4</f>
        <v>152</v>
      </c>
    </row>
    <row r="5" spans="2:24" x14ac:dyDescent="0.3">
      <c r="C5" s="1" t="s">
        <v>133</v>
      </c>
      <c r="E5" s="34">
        <f>D8</f>
        <v>48744</v>
      </c>
      <c r="F5" s="34">
        <f>E8</f>
        <v>67150</v>
      </c>
      <c r="G5" s="34">
        <f>F8</f>
        <v>58314</v>
      </c>
      <c r="H5" s="34">
        <f t="shared" ref="H5:K5" si="1">G8</f>
        <v>58314</v>
      </c>
      <c r="I5" s="34">
        <f t="shared" si="1"/>
        <v>58314</v>
      </c>
      <c r="J5" s="34">
        <f t="shared" si="1"/>
        <v>58314</v>
      </c>
      <c r="K5" s="34">
        <f t="shared" si="1"/>
        <v>58314</v>
      </c>
      <c r="S5" t="s">
        <v>152</v>
      </c>
      <c r="T5">
        <v>2057</v>
      </c>
      <c r="U5" s="51">
        <v>2.8000000000000001E-2</v>
      </c>
      <c r="V5">
        <v>15000</v>
      </c>
      <c r="X5">
        <f t="shared" ref="X5:X6" si="2">U5*V5</f>
        <v>420</v>
      </c>
    </row>
    <row r="6" spans="2:24" x14ac:dyDescent="0.3">
      <c r="C6" t="s">
        <v>134</v>
      </c>
      <c r="G6">
        <f>Assumption!G27</f>
        <v>0</v>
      </c>
      <c r="H6">
        <f>Assumption!H27</f>
        <v>0</v>
      </c>
      <c r="I6">
        <f>Assumption!I27</f>
        <v>0</v>
      </c>
      <c r="J6">
        <f>Assumption!J27</f>
        <v>0</v>
      </c>
      <c r="K6">
        <f>Assumption!K27</f>
        <v>0</v>
      </c>
      <c r="S6" t="s">
        <v>197</v>
      </c>
      <c r="T6">
        <v>2060</v>
      </c>
      <c r="U6" s="51">
        <v>8.0000000000000002E-3</v>
      </c>
      <c r="V6">
        <v>9000</v>
      </c>
      <c r="X6">
        <f t="shared" si="2"/>
        <v>72</v>
      </c>
    </row>
    <row r="7" spans="2:24" x14ac:dyDescent="0.3">
      <c r="C7" t="s">
        <v>135</v>
      </c>
      <c r="G7" s="34">
        <f>Assumption!G28</f>
        <v>-8500</v>
      </c>
      <c r="H7" s="34">
        <f>Assumption!H28</f>
        <v>-5286</v>
      </c>
      <c r="I7" s="34">
        <f>Assumption!I28</f>
        <v>-3146</v>
      </c>
      <c r="J7" s="34">
        <f>Assumption!J28</f>
        <v>-8750</v>
      </c>
      <c r="K7" s="34">
        <f>Assumption!K28</f>
        <v>-2250</v>
      </c>
      <c r="S7" t="s">
        <v>198</v>
      </c>
      <c r="T7">
        <v>2061</v>
      </c>
      <c r="U7" s="51">
        <v>4.4999999999999997E-3</v>
      </c>
      <c r="V7">
        <v>17500</v>
      </c>
      <c r="X7">
        <f>U7*V7</f>
        <v>78.75</v>
      </c>
    </row>
    <row r="8" spans="2:24" x14ac:dyDescent="0.3">
      <c r="C8" s="1" t="s">
        <v>136</v>
      </c>
      <c r="D8" s="34">
        <f>'Operating Model - IS, BS, CF'!D64</f>
        <v>48744</v>
      </c>
      <c r="E8" s="34">
        <f>'Operating Model - IS, BS, CF'!E64</f>
        <v>67150</v>
      </c>
      <c r="F8" s="34">
        <f>'Operating Model - IS, BS, CF'!F64</f>
        <v>58314</v>
      </c>
      <c r="G8" s="34">
        <f>SUM(G5:G5)</f>
        <v>58314</v>
      </c>
      <c r="H8" s="34">
        <f>SUM(H5:H5)</f>
        <v>58314</v>
      </c>
      <c r="I8" s="34">
        <f>SUM(I5:I5)</f>
        <v>58314</v>
      </c>
      <c r="J8" s="34">
        <f>SUM(J5:J5)</f>
        <v>58314</v>
      </c>
      <c r="K8" s="34">
        <f>SUM(K5:K5)</f>
        <v>58314</v>
      </c>
      <c r="S8" t="s">
        <v>199</v>
      </c>
      <c r="T8">
        <v>2062</v>
      </c>
      <c r="U8" s="51">
        <v>2.7300000000000001E-2</v>
      </c>
      <c r="V8">
        <v>12750</v>
      </c>
      <c r="X8">
        <f>U8*V8</f>
        <v>348.07500000000005</v>
      </c>
    </row>
    <row r="9" spans="2:24" x14ac:dyDescent="0.3">
      <c r="S9" t="s">
        <v>200</v>
      </c>
      <c r="T9">
        <v>2032</v>
      </c>
      <c r="U9" s="51">
        <v>4.5499999999999999E-2</v>
      </c>
      <c r="V9">
        <v>8250</v>
      </c>
      <c r="X9">
        <f>U9*V9</f>
        <v>375.375</v>
      </c>
    </row>
    <row r="10" spans="2:24" x14ac:dyDescent="0.3">
      <c r="V10">
        <v>682</v>
      </c>
    </row>
    <row r="11" spans="2:24" x14ac:dyDescent="0.3">
      <c r="C11" t="s">
        <v>137</v>
      </c>
      <c r="G11" s="32">
        <f>-SUM(G5:G5)*$U$11</f>
        <v>-1255.3021166383853</v>
      </c>
      <c r="H11" s="32">
        <f>-SUM(H5:H5)*$U$11</f>
        <v>-1255.3021166383853</v>
      </c>
      <c r="I11" s="32">
        <f>-SUM(I5:I5)*$U$11</f>
        <v>-1255.3021166383853</v>
      </c>
      <c r="J11" s="32">
        <f>-SUM(J5:J5)*$U$11</f>
        <v>-1255.3021166383853</v>
      </c>
      <c r="K11" s="32">
        <f>-SUM(K5:K5)*$U$11</f>
        <v>-1255.3021166383853</v>
      </c>
      <c r="U11" s="81">
        <f>X11/V11</f>
        <v>2.1526599386740498E-2</v>
      </c>
      <c r="V11" s="1">
        <f>SUM(V4:V10)</f>
        <v>67182</v>
      </c>
      <c r="X11" s="1">
        <f>SUM(X4:X9)</f>
        <v>1446.2</v>
      </c>
    </row>
    <row r="12" spans="2:24" x14ac:dyDescent="0.3">
      <c r="C12" s="50" t="s">
        <v>138</v>
      </c>
      <c r="G12" s="32">
        <f ca="1">'Operating Model - IS, BS, CF'!G106*Assumption!$G$30</f>
        <v>446.81664931162464</v>
      </c>
      <c r="H12" s="32">
        <f ca="1">'Operating Model - IS, BS, CF'!H106*Assumption!$G$30</f>
        <v>519.80022449229966</v>
      </c>
      <c r="I12" s="32">
        <f ca="1">'Operating Model - IS, BS, CF'!I106*Assumption!$G$30</f>
        <v>611.97731083165888</v>
      </c>
      <c r="J12" s="32">
        <f ca="1">'Operating Model - IS, BS, CF'!J106*Assumption!$G$30</f>
        <v>685.72467343985863</v>
      </c>
      <c r="K12" s="32">
        <f ca="1">'Operating Model - IS, BS, CF'!K106*Assumption!$G$30</f>
        <v>804.9529621684178</v>
      </c>
    </row>
    <row r="14" spans="2:24" x14ac:dyDescent="0.3">
      <c r="C14" t="s">
        <v>139</v>
      </c>
      <c r="G14" s="32">
        <f ca="1">SUM(G11:G12)</f>
        <v>-808.48546732676073</v>
      </c>
      <c r="H14" s="32">
        <f ca="1">SUM(H11:H12)</f>
        <v>-735.50189214608565</v>
      </c>
      <c r="I14" s="32">
        <f ca="1">SUM(I11:I12)</f>
        <v>-643.32480580672643</v>
      </c>
      <c r="J14" s="32">
        <f ca="1">SUM(J11:J12)</f>
        <v>-569.57744319852668</v>
      </c>
      <c r="K14" s="32">
        <f ca="1">SUM(K11:K12)</f>
        <v>-450.34915446996752</v>
      </c>
    </row>
    <row r="16" spans="2:24" x14ac:dyDescent="0.3">
      <c r="C16" s="1" t="s">
        <v>140</v>
      </c>
    </row>
    <row r="17" spans="3:11" x14ac:dyDescent="0.3">
      <c r="C17" t="s">
        <v>141</v>
      </c>
      <c r="G17">
        <f>'Operating Model - IS, BS, CF'!G104</f>
        <v>73387</v>
      </c>
      <c r="H17" s="32">
        <f ca="1">'Operating Model - IS, BS, CF'!H104</f>
        <v>89363.329862324928</v>
      </c>
      <c r="I17" s="32">
        <f ca="1">'Operating Model - IS, BS, CF'!I104</f>
        <v>103960.04489845994</v>
      </c>
      <c r="J17" s="32">
        <f ca="1">'Operating Model - IS, BS, CF'!J104</f>
        <v>122395.46216633178</v>
      </c>
      <c r="K17" s="32">
        <f ca="1">'Operating Model - IS, BS, CF'!K104</f>
        <v>137144.93468797172</v>
      </c>
    </row>
    <row r="18" spans="3:11" x14ac:dyDescent="0.3">
      <c r="C18" t="s">
        <v>46</v>
      </c>
      <c r="G18" s="32">
        <f ca="1">'Operating Model - IS, BS, CF'!G88</f>
        <v>97561.839206080025</v>
      </c>
      <c r="H18" s="32">
        <f ca="1">'Operating Model - IS, BS, CF'!H88</f>
        <v>100896.31911358348</v>
      </c>
      <c r="I18" s="32">
        <f ca="1">'Operating Model - IS, BS, CF'!I88</f>
        <v>111383.13178761036</v>
      </c>
      <c r="J18" s="32">
        <f ca="1">'Operating Model - IS, BS, CF'!J88</f>
        <v>123042.60509200615</v>
      </c>
      <c r="K18" s="32">
        <f ca="1">'Operating Model - IS, BS, CF'!K88</f>
        <v>136436.92789755875</v>
      </c>
    </row>
    <row r="19" spans="3:11" x14ac:dyDescent="0.3">
      <c r="C19" t="s">
        <v>49</v>
      </c>
      <c r="G19" s="32">
        <f>'Operating Model - IS, BS, CF'!G92</f>
        <v>-73085.509343755097</v>
      </c>
      <c r="H19" s="32">
        <f>'Operating Model - IS, BS, CF'!H92</f>
        <v>-81013.604077448472</v>
      </c>
      <c r="I19" s="32">
        <f>'Operating Model - IS, BS, CF'!I92</f>
        <v>-89801.714519738511</v>
      </c>
      <c r="J19" s="32">
        <f>'Operating Model - IS, BS, CF'!J92</f>
        <v>-99543.132570366215</v>
      </c>
      <c r="K19" s="32">
        <f>'Operating Model - IS, BS, CF'!K92</f>
        <v>-110341.27015184693</v>
      </c>
    </row>
    <row r="20" spans="3:11" x14ac:dyDescent="0.3">
      <c r="C20" t="s">
        <v>142</v>
      </c>
      <c r="G20">
        <f>'Operating Model - IS, BS, CF'!G94</f>
        <v>0</v>
      </c>
      <c r="H20">
        <f>'Operating Model - IS, BS, CF'!H94</f>
        <v>0</v>
      </c>
      <c r="I20">
        <f>'Operating Model - IS, BS, CF'!I94</f>
        <v>0</v>
      </c>
      <c r="J20">
        <f>'Operating Model - IS, BS, CF'!J94</f>
        <v>0</v>
      </c>
      <c r="K20">
        <f>'Operating Model - IS, BS, CF'!K94</f>
        <v>0</v>
      </c>
    </row>
    <row r="21" spans="3:11" x14ac:dyDescent="0.3">
      <c r="C21" t="s">
        <v>51</v>
      </c>
      <c r="G21">
        <f>'Operating Model - IS, BS, CF'!G95</f>
        <v>0</v>
      </c>
      <c r="H21">
        <f>'Operating Model - IS, BS, CF'!H95</f>
        <v>0</v>
      </c>
      <c r="I21">
        <f>'Operating Model - IS, BS, CF'!I95</f>
        <v>0</v>
      </c>
      <c r="J21">
        <f>'Operating Model - IS, BS, CF'!J95</f>
        <v>0</v>
      </c>
      <c r="K21">
        <f>'Operating Model - IS, BS, CF'!K95</f>
        <v>0</v>
      </c>
    </row>
    <row r="22" spans="3:11" x14ac:dyDescent="0.3">
      <c r="C22" t="s">
        <v>54</v>
      </c>
      <c r="G22">
        <f>'Operating Model - IS, BS, CF'!G96</f>
        <v>0</v>
      </c>
      <c r="H22">
        <f>'Operating Model - IS, BS, CF'!H96</f>
        <v>0</v>
      </c>
      <c r="I22">
        <f>'Operating Model - IS, BS, CF'!I96</f>
        <v>0</v>
      </c>
      <c r="J22">
        <f>'Operating Model - IS, BS, CF'!J96</f>
        <v>0</v>
      </c>
      <c r="K22">
        <f>'Operating Model - IS, BS, CF'!K96</f>
        <v>0</v>
      </c>
    </row>
    <row r="23" spans="3:11" x14ac:dyDescent="0.3">
      <c r="C23" t="s">
        <v>52</v>
      </c>
      <c r="G23">
        <f>'Operating Model - IS, BS, CF'!G97</f>
        <v>0</v>
      </c>
      <c r="H23">
        <f>'Operating Model - IS, BS, CF'!H97</f>
        <v>0</v>
      </c>
      <c r="I23">
        <f>'Operating Model - IS, BS, CF'!I97</f>
        <v>0</v>
      </c>
      <c r="J23">
        <f>'Operating Model - IS, BS, CF'!J97</f>
        <v>0</v>
      </c>
      <c r="K23">
        <f>'Operating Model - IS, BS, CF'!K97</f>
        <v>0</v>
      </c>
    </row>
    <row r="24" spans="3:11" x14ac:dyDescent="0.3">
      <c r="C24" t="s">
        <v>53</v>
      </c>
      <c r="G24" s="34">
        <f>'Operating Model - IS, BS, CF'!G98</f>
        <v>-8500</v>
      </c>
      <c r="H24" s="34">
        <f>'Operating Model - IS, BS, CF'!H98</f>
        <v>-5286</v>
      </c>
      <c r="I24" s="34">
        <f>'Operating Model - IS, BS, CF'!I98</f>
        <v>-3146</v>
      </c>
      <c r="J24" s="34">
        <f>'Operating Model - IS, BS, CF'!J98</f>
        <v>-8750</v>
      </c>
      <c r="K24" s="34">
        <f>'Operating Model - IS, BS, CF'!K98</f>
        <v>-2250</v>
      </c>
    </row>
    <row r="25" spans="3:11" x14ac:dyDescent="0.3">
      <c r="C25" s="1" t="s">
        <v>143</v>
      </c>
      <c r="G25" s="32">
        <f ca="1">SUM(G17:G24)</f>
        <v>89363.329862324914</v>
      </c>
      <c r="H25" s="32">
        <f ca="1">SUM(H17:H24)</f>
        <v>103960.04489845994</v>
      </c>
      <c r="I25" s="32">
        <f ca="1">SUM(I17:I24)</f>
        <v>122395.46216633177</v>
      </c>
      <c r="J25" s="32">
        <f ca="1">SUM(J17:J24)</f>
        <v>137144.93468797172</v>
      </c>
      <c r="K25" s="32">
        <f ca="1">SUM(K17:K24)</f>
        <v>160990.59243368357</v>
      </c>
    </row>
    <row r="27" spans="3:11" x14ac:dyDescent="0.3">
      <c r="C27" s="1" t="s">
        <v>144</v>
      </c>
      <c r="E27" s="34">
        <f t="shared" ref="E27:K27" si="3">D29</f>
        <v>0</v>
      </c>
      <c r="F27" s="34">
        <f t="shared" si="3"/>
        <v>0</v>
      </c>
      <c r="G27" s="34">
        <f t="shared" si="3"/>
        <v>0</v>
      </c>
      <c r="H27" s="34">
        <f t="shared" ca="1" si="3"/>
        <v>0</v>
      </c>
      <c r="I27" s="34">
        <f t="shared" ca="1" si="3"/>
        <v>0</v>
      </c>
      <c r="J27" s="34">
        <f t="shared" ca="1" si="3"/>
        <v>0</v>
      </c>
      <c r="K27" s="34">
        <f t="shared" ca="1" si="3"/>
        <v>0</v>
      </c>
    </row>
    <row r="28" spans="3:11" x14ac:dyDescent="0.3">
      <c r="C28" t="s">
        <v>145</v>
      </c>
      <c r="G28" s="34">
        <f ca="1">MIN(G27,G25)</f>
        <v>0</v>
      </c>
      <c r="H28" s="34">
        <f ca="1">MIN(H27,H25)</f>
        <v>0</v>
      </c>
      <c r="I28" s="34">
        <f ca="1">MIN(I27,I25)</f>
        <v>0</v>
      </c>
      <c r="J28" s="34">
        <f ca="1">MIN(J27,J25)</f>
        <v>0</v>
      </c>
      <c r="K28" s="34">
        <f ca="1">MIN(K27,K25)</f>
        <v>0</v>
      </c>
    </row>
    <row r="29" spans="3:11" x14ac:dyDescent="0.3">
      <c r="C29" s="1" t="s">
        <v>146</v>
      </c>
      <c r="D29" s="34">
        <f>'Operating Model - IS, BS, CF'!D57</f>
        <v>0</v>
      </c>
      <c r="E29" s="34">
        <f>'Operating Model - IS, BS, CF'!E57</f>
        <v>0</v>
      </c>
      <c r="F29" s="34">
        <f>'Operating Model - IS, BS, CF'!F57</f>
        <v>0</v>
      </c>
      <c r="G29" s="34">
        <f ca="1">SUM(G27,G28)</f>
        <v>0</v>
      </c>
      <c r="H29" s="34">
        <f ca="1">SUM(H27,H28)</f>
        <v>0</v>
      </c>
      <c r="I29" s="34">
        <f ca="1">SUM(I27,I28)</f>
        <v>0</v>
      </c>
      <c r="J29" s="34">
        <f ca="1">SUM(J27,J28)</f>
        <v>0</v>
      </c>
      <c r="K29" s="34">
        <f ca="1">SUM(K27,K28)</f>
        <v>0</v>
      </c>
    </row>
  </sheetData>
  <mergeCells count="1">
    <mergeCell ref="D3: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17"/>
  <sheetViews>
    <sheetView workbookViewId="0">
      <selection activeCell="H20" sqref="H20"/>
    </sheetView>
  </sheetViews>
  <sheetFormatPr defaultRowHeight="14.4" x14ac:dyDescent="0.3"/>
  <cols>
    <col min="2" max="2" width="3.88671875" customWidth="1"/>
    <col min="3" max="3" width="22.88671875" bestFit="1" customWidth="1"/>
  </cols>
  <sheetData>
    <row r="3" spans="2:11" x14ac:dyDescent="0.3">
      <c r="B3" t="s">
        <v>14</v>
      </c>
      <c r="C3" s="7" t="s">
        <v>153</v>
      </c>
      <c r="D3" s="105" t="s">
        <v>12</v>
      </c>
      <c r="E3" s="105"/>
      <c r="F3" s="105"/>
      <c r="G3" s="105"/>
      <c r="H3" s="105"/>
      <c r="I3" s="105"/>
      <c r="J3" s="105"/>
      <c r="K3" s="105"/>
    </row>
    <row r="4" spans="2:11" x14ac:dyDescent="0.3">
      <c r="D4" s="37">
        <v>2021</v>
      </c>
      <c r="E4" s="38">
        <f>D4+1</f>
        <v>2022</v>
      </c>
      <c r="F4" s="38">
        <f>E4+1</f>
        <v>2023</v>
      </c>
      <c r="G4" s="39">
        <f>F4+1</f>
        <v>2024</v>
      </c>
      <c r="H4" s="39">
        <f t="shared" ref="H4:K4" si="0">G4+1</f>
        <v>2025</v>
      </c>
      <c r="I4" s="39">
        <f t="shared" si="0"/>
        <v>2026</v>
      </c>
      <c r="J4" s="39">
        <f t="shared" si="0"/>
        <v>2027</v>
      </c>
      <c r="K4" s="39">
        <f t="shared" si="0"/>
        <v>2028</v>
      </c>
    </row>
    <row r="5" spans="2:11" x14ac:dyDescent="0.3">
      <c r="C5" s="1" t="s">
        <v>154</v>
      </c>
      <c r="E5" s="34">
        <f>D8</f>
        <v>52330</v>
      </c>
      <c r="F5" s="34">
        <f>E8</f>
        <v>62850</v>
      </c>
      <c r="G5" s="34">
        <f>F8</f>
        <v>88257</v>
      </c>
      <c r="H5" s="34">
        <f>G8</f>
        <v>88257</v>
      </c>
      <c r="I5" s="34">
        <f t="shared" ref="I5:K5" si="1">H8</f>
        <v>88257</v>
      </c>
      <c r="J5" s="34">
        <f t="shared" si="1"/>
        <v>88257</v>
      </c>
      <c r="K5" s="34">
        <f t="shared" si="1"/>
        <v>88257</v>
      </c>
    </row>
    <row r="6" spans="2:11" x14ac:dyDescent="0.3">
      <c r="B6" t="s">
        <v>117</v>
      </c>
      <c r="C6" t="s">
        <v>134</v>
      </c>
      <c r="E6" s="34"/>
      <c r="G6" s="17">
        <f>Assumption!G34</f>
        <v>0</v>
      </c>
      <c r="H6" s="17">
        <f>Assumption!H34</f>
        <v>0</v>
      </c>
      <c r="I6" s="17">
        <f>Assumption!I34</f>
        <v>0</v>
      </c>
      <c r="J6" s="17">
        <f>Assumption!J34</f>
        <v>0</v>
      </c>
      <c r="K6" s="17">
        <f>Assumption!K34</f>
        <v>0</v>
      </c>
    </row>
    <row r="7" spans="2:11" x14ac:dyDescent="0.3">
      <c r="B7" t="s">
        <v>118</v>
      </c>
      <c r="C7" t="s">
        <v>155</v>
      </c>
      <c r="G7" s="17">
        <f>Assumption!G35</f>
        <v>0</v>
      </c>
      <c r="H7" s="17">
        <f>Assumption!H35</f>
        <v>0</v>
      </c>
      <c r="I7" s="17">
        <f>Assumption!I35</f>
        <v>0</v>
      </c>
      <c r="J7" s="17">
        <f>Assumption!J35</f>
        <v>0</v>
      </c>
      <c r="K7" s="17">
        <f>Assumption!K35</f>
        <v>0</v>
      </c>
    </row>
    <row r="8" spans="2:11" x14ac:dyDescent="0.3">
      <c r="C8" s="1" t="s">
        <v>156</v>
      </c>
      <c r="D8" s="34">
        <f>'Operating Model - IS, BS, CF'!D73</f>
        <v>52330</v>
      </c>
      <c r="E8" s="34">
        <f>'Operating Model - IS, BS, CF'!E73</f>
        <v>62850</v>
      </c>
      <c r="F8" s="34">
        <f>'Operating Model - IS, BS, CF'!F73</f>
        <v>88257</v>
      </c>
      <c r="G8" s="34">
        <f>SUM(G5:G7)</f>
        <v>88257</v>
      </c>
      <c r="H8" s="34">
        <f t="shared" ref="H8:K8" si="2">SUM(H5:H7)</f>
        <v>88257</v>
      </c>
      <c r="I8" s="34">
        <f t="shared" si="2"/>
        <v>88257</v>
      </c>
      <c r="J8" s="34">
        <f t="shared" si="2"/>
        <v>88257</v>
      </c>
      <c r="K8" s="34">
        <f t="shared" si="2"/>
        <v>88257</v>
      </c>
    </row>
    <row r="11" spans="2:11" x14ac:dyDescent="0.3">
      <c r="C11" s="1" t="s">
        <v>157</v>
      </c>
      <c r="E11" s="34">
        <f t="shared" ref="E11:K11" si="3">D14</f>
        <v>85915</v>
      </c>
      <c r="F11" s="34">
        <f t="shared" si="3"/>
        <v>83193</v>
      </c>
      <c r="G11" s="34">
        <f t="shared" si="3"/>
        <v>113618</v>
      </c>
      <c r="H11" s="34">
        <f t="shared" ca="1" si="3"/>
        <v>148704.56698727148</v>
      </c>
      <c r="I11" s="34">
        <f t="shared" ca="1" si="3"/>
        <v>187791.6481238156</v>
      </c>
      <c r="J11" s="34">
        <f t="shared" ca="1" si="3"/>
        <v>231326.85160351891</v>
      </c>
      <c r="K11" s="34">
        <f t="shared" ca="1" si="3"/>
        <v>279758.29740216094</v>
      </c>
    </row>
    <row r="12" spans="2:11" x14ac:dyDescent="0.3">
      <c r="C12" t="s">
        <v>158</v>
      </c>
      <c r="G12">
        <f ca="1">'Operating Model - IS, BS, CF'!G31</f>
        <v>35086.566987271493</v>
      </c>
      <c r="H12">
        <f ca="1">'Operating Model - IS, BS, CF'!H31</f>
        <v>39087.081136544119</v>
      </c>
      <c r="I12">
        <f ca="1">'Operating Model - IS, BS, CF'!I31</f>
        <v>43535.203479703312</v>
      </c>
      <c r="J12">
        <f ca="1">'Operating Model - IS, BS, CF'!J31</f>
        <v>48431.445798642002</v>
      </c>
      <c r="K12">
        <f ca="1">'Operating Model - IS, BS, CF'!K31</f>
        <v>53904.169710392918</v>
      </c>
    </row>
    <row r="13" spans="2:11" x14ac:dyDescent="0.3">
      <c r="C13" t="s">
        <v>159</v>
      </c>
    </row>
    <row r="14" spans="2:11" x14ac:dyDescent="0.3">
      <c r="C14" s="1" t="s">
        <v>160</v>
      </c>
      <c r="D14" s="34">
        <f>'Operating Model - IS, BS, CF'!D74</f>
        <v>85915</v>
      </c>
      <c r="E14" s="34">
        <f>'Operating Model - IS, BS, CF'!E74</f>
        <v>83193</v>
      </c>
      <c r="F14" s="34">
        <f>'Operating Model - IS, BS, CF'!F74</f>
        <v>113618</v>
      </c>
      <c r="G14" s="34">
        <f ca="1">SUM(G11:G13)</f>
        <v>148704.56698727148</v>
      </c>
      <c r="H14" s="34">
        <f ca="1">SUM(H11:H13)</f>
        <v>187791.6481238156</v>
      </c>
      <c r="I14" s="34">
        <f ca="1">SUM(I11:I13)</f>
        <v>231326.85160351891</v>
      </c>
      <c r="J14" s="34">
        <f ca="1">SUM(J11:J13)</f>
        <v>279758.29740216094</v>
      </c>
      <c r="K14" s="34">
        <f ca="1">SUM(K11:K13)</f>
        <v>333662.46711255389</v>
      </c>
    </row>
    <row r="17" spans="3:5" x14ac:dyDescent="0.3">
      <c r="C17" t="s">
        <v>161</v>
      </c>
      <c r="E17" t="s">
        <v>196</v>
      </c>
    </row>
  </sheetData>
  <mergeCells count="1">
    <mergeCell ref="D3:K3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X54"/>
  <sheetViews>
    <sheetView workbookViewId="0">
      <selection activeCell="H22" sqref="H22"/>
    </sheetView>
  </sheetViews>
  <sheetFormatPr defaultRowHeight="14.4" x14ac:dyDescent="0.3"/>
  <cols>
    <col min="2" max="2" width="3.5546875" customWidth="1"/>
    <col min="3" max="3" width="26.88671875" bestFit="1" customWidth="1"/>
    <col min="4" max="4" width="12" customWidth="1"/>
    <col min="5" max="5" width="11.44140625" bestFit="1" customWidth="1"/>
    <col min="6" max="6" width="13.44140625" bestFit="1" customWidth="1"/>
    <col min="7" max="9" width="14.6640625" bestFit="1" customWidth="1"/>
    <col min="10" max="10" width="13.6640625" bestFit="1" customWidth="1"/>
    <col min="11" max="11" width="11.33203125" bestFit="1" customWidth="1"/>
    <col min="19" max="19" width="14" bestFit="1" customWidth="1"/>
    <col min="21" max="21" width="17.88671875" bestFit="1" customWidth="1"/>
    <col min="22" max="22" width="32.5546875" bestFit="1" customWidth="1"/>
    <col min="23" max="23" width="9.44140625" bestFit="1" customWidth="1"/>
  </cols>
  <sheetData>
    <row r="3" spans="2:24" x14ac:dyDescent="0.3">
      <c r="B3" t="s">
        <v>14</v>
      </c>
      <c r="C3" s="7" t="s">
        <v>153</v>
      </c>
      <c r="D3" s="105" t="s">
        <v>12</v>
      </c>
      <c r="E3" s="105"/>
      <c r="F3" s="105"/>
      <c r="G3" s="105"/>
      <c r="H3" s="105"/>
      <c r="I3" s="105"/>
      <c r="J3" s="105"/>
      <c r="K3" s="105"/>
    </row>
    <row r="4" spans="2:24" x14ac:dyDescent="0.3">
      <c r="D4" s="93">
        <v>2023</v>
      </c>
      <c r="E4" s="38"/>
      <c r="F4" s="38"/>
      <c r="G4" s="93">
        <v>2024</v>
      </c>
      <c r="H4" s="39">
        <v>2025</v>
      </c>
      <c r="I4" s="39">
        <v>2026</v>
      </c>
      <c r="J4" s="39">
        <v>2027</v>
      </c>
      <c r="K4" s="39">
        <v>2028</v>
      </c>
      <c r="L4" s="94"/>
      <c r="M4" s="94"/>
      <c r="N4" s="94"/>
      <c r="O4" s="94"/>
      <c r="S4" t="s">
        <v>237</v>
      </c>
      <c r="U4" t="s">
        <v>224</v>
      </c>
      <c r="V4" s="24">
        <f>W10*V15*(1-V21)+W9*V12</f>
        <v>0.10147656128260814</v>
      </c>
    </row>
    <row r="6" spans="2:24" x14ac:dyDescent="0.3">
      <c r="C6" t="s">
        <v>221</v>
      </c>
      <c r="G6" s="32">
        <f>'Operating Model - IS, BS, CF'!G24*(1-Assumption!G8)</f>
        <v>23546.462130712505</v>
      </c>
      <c r="H6" s="32">
        <f>'Operating Model - IS, BS, CF'!H24*(1-Assumption!H8)</f>
        <v>26100.711038489502</v>
      </c>
      <c r="I6" s="32">
        <f>'Operating Model - IS, BS, CF'!I24*(1-Assumption!I8)</f>
        <v>28932.037132922535</v>
      </c>
      <c r="J6" s="32">
        <f>'Operating Model - IS, BS, CF'!J24*(1-Assumption!J8)</f>
        <v>32070.496908165831</v>
      </c>
      <c r="K6" s="32">
        <f>'Operating Model - IS, BS, CF'!K24*(1-Assumption!K8)</f>
        <v>35549.407295841527</v>
      </c>
      <c r="U6" t="s">
        <v>225</v>
      </c>
      <c r="W6">
        <f>227.61*Assumption!E39</f>
        <v>2364271.8556445101</v>
      </c>
      <c r="X6" s="34"/>
    </row>
    <row r="7" spans="2:24" x14ac:dyDescent="0.3">
      <c r="B7" t="s">
        <v>117</v>
      </c>
      <c r="C7" t="s">
        <v>6</v>
      </c>
      <c r="G7" s="32">
        <f>'Operating Model - IS, BS, CF'!G85</f>
        <v>54059.845734961564</v>
      </c>
      <c r="H7" s="32">
        <f>'Operating Model - IS, BS, CF'!H85</f>
        <v>59161.704018364508</v>
      </c>
      <c r="I7" s="32">
        <f>'Operating Model - IS, BS, CF'!I85</f>
        <v>64988.791087229387</v>
      </c>
      <c r="J7" s="32">
        <f>'Operating Model - IS, BS, CF'!J85</f>
        <v>71625.988927802799</v>
      </c>
      <c r="K7" s="32">
        <f>'Operating Model - IS, BS, CF'!K85</f>
        <v>79056.744655255796</v>
      </c>
      <c r="U7" t="s">
        <v>226</v>
      </c>
      <c r="V7" s="74"/>
      <c r="W7" s="73">
        <f>'Operating Model - IS, BS, CF'!F57+'Operating Model - IS, BS, CF'!F64</f>
        <v>58314</v>
      </c>
    </row>
    <row r="8" spans="2:24" x14ac:dyDescent="0.3">
      <c r="B8" t="s">
        <v>118</v>
      </c>
      <c r="C8" t="s">
        <v>222</v>
      </c>
      <c r="G8" s="32">
        <f>'Operating Model - IS, BS, CF'!G90</f>
        <v>-73085.509343755097</v>
      </c>
      <c r="H8" s="32">
        <f>'Operating Model - IS, BS, CF'!H90</f>
        <v>-81013.604077448472</v>
      </c>
      <c r="I8" s="32">
        <f>'Operating Model - IS, BS, CF'!I90</f>
        <v>-89801.714519738511</v>
      </c>
      <c r="J8" s="32">
        <f>'Operating Model - IS, BS, CF'!J90</f>
        <v>-99543.132570366215</v>
      </c>
      <c r="K8" s="32">
        <f>'Operating Model - IS, BS, CF'!K90</f>
        <v>-110341.27015184693</v>
      </c>
    </row>
    <row r="9" spans="2:24" x14ac:dyDescent="0.3">
      <c r="C9" t="s">
        <v>223</v>
      </c>
      <c r="G9" s="34">
        <f>-'Working Cap Schedule'!G23</f>
        <v>8415.426483846968</v>
      </c>
      <c r="H9" s="34">
        <f>-'Working Cap Schedule'!H23</f>
        <v>2647.5339586748451</v>
      </c>
      <c r="I9" s="34">
        <f>-'Working Cap Schedule'!I23</f>
        <v>2859.1372206776578</v>
      </c>
      <c r="J9" s="34">
        <f>-'Working Cap Schedule'!J23</f>
        <v>2985.1703655613528</v>
      </c>
      <c r="K9" s="34">
        <f>-'Working Cap Schedule'!K23</f>
        <v>3476.0135319100518</v>
      </c>
      <c r="U9" t="s">
        <v>227</v>
      </c>
      <c r="W9" s="46">
        <f>W6/SUM(W6:W7)</f>
        <v>0.97592902647221724</v>
      </c>
    </row>
    <row r="10" spans="2:24" x14ac:dyDescent="0.3">
      <c r="C10" t="s">
        <v>220</v>
      </c>
      <c r="G10" s="31">
        <f>SUM(G6:G9)</f>
        <v>12936.22500576594</v>
      </c>
      <c r="H10" s="31">
        <f>SUM(H6:H9)</f>
        <v>6896.3449380803795</v>
      </c>
      <c r="I10" s="31">
        <f>SUM(I6:I9)</f>
        <v>6978.2509210910648</v>
      </c>
      <c r="J10" s="31">
        <f>SUM(J6:J9)</f>
        <v>7138.5236311637709</v>
      </c>
      <c r="K10" s="31">
        <f t="shared" ref="K10" si="0">SUM(K6:K9)</f>
        <v>7740.8953311604564</v>
      </c>
      <c r="U10" t="s">
        <v>228</v>
      </c>
      <c r="W10" s="46">
        <f>W7/SUM(W6:W7)</f>
        <v>2.4070973527782782E-2</v>
      </c>
    </row>
    <row r="11" spans="2:24" x14ac:dyDescent="0.3">
      <c r="H11" s="46">
        <f>H10/G10-1</f>
        <v>-0.46689664604577163</v>
      </c>
      <c r="I11" s="46">
        <f>I10/H10-1</f>
        <v>1.1876723647973986E-2</v>
      </c>
      <c r="J11" s="46">
        <f>J10/I10-1</f>
        <v>2.2967461601058003E-2</v>
      </c>
      <c r="K11" s="46">
        <f>K10/J10-1</f>
        <v>8.4383232601064062E-2</v>
      </c>
      <c r="L11" s="24"/>
      <c r="M11" s="24"/>
      <c r="N11" s="24"/>
      <c r="O11" s="24"/>
    </row>
    <row r="12" spans="2:24" x14ac:dyDescent="0.3">
      <c r="D12" t="s">
        <v>252</v>
      </c>
      <c r="F12" t="s">
        <v>251</v>
      </c>
      <c r="U12" t="s">
        <v>229</v>
      </c>
      <c r="V12" s="95">
        <f>V16+V17*V18</f>
        <v>0.10356</v>
      </c>
    </row>
    <row r="13" spans="2:24" x14ac:dyDescent="0.3">
      <c r="C13" t="s">
        <v>253</v>
      </c>
      <c r="F13">
        <v>13</v>
      </c>
      <c r="V13" s="95"/>
    </row>
    <row r="14" spans="2:24" x14ac:dyDescent="0.3">
      <c r="V14" s="95"/>
    </row>
    <row r="15" spans="2:24" x14ac:dyDescent="0.3">
      <c r="C15" t="s">
        <v>249</v>
      </c>
      <c r="D15" s="31">
        <f>K10*(1+D16)/(V4-D16)</f>
        <v>157895.94128278698</v>
      </c>
      <c r="E15" s="32"/>
      <c r="F15" s="31">
        <f>F13*'Operating Model - IS, BS, CF'!K22</f>
        <v>1612727.9271587555</v>
      </c>
      <c r="U15" t="s">
        <v>230</v>
      </c>
      <c r="V15" s="24">
        <f>Assumption!G31</f>
        <v>2.1526599386740501E-2</v>
      </c>
    </row>
    <row r="16" spans="2:24" x14ac:dyDescent="0.3">
      <c r="C16" t="s">
        <v>250</v>
      </c>
      <c r="D16" s="24">
        <v>0.05</v>
      </c>
      <c r="U16" t="s">
        <v>231</v>
      </c>
      <c r="V16" s="96">
        <v>4.4999999999999998E-2</v>
      </c>
    </row>
    <row r="17" spans="2:22" x14ac:dyDescent="0.3">
      <c r="U17" t="s">
        <v>232</v>
      </c>
      <c r="V17" s="18">
        <v>1.22</v>
      </c>
    </row>
    <row r="18" spans="2:22" x14ac:dyDescent="0.3">
      <c r="C18" t="s">
        <v>238</v>
      </c>
      <c r="D18" s="101">
        <f>NPV($V$4,G10:K10)</f>
        <v>32274.407924298041</v>
      </c>
      <c r="E18" s="101"/>
      <c r="F18" s="101">
        <f>D18</f>
        <v>32274.407924298041</v>
      </c>
      <c r="G18" s="32"/>
      <c r="H18" s="32"/>
      <c r="I18" s="32"/>
      <c r="J18" s="32"/>
      <c r="K18" s="32"/>
      <c r="U18" t="s">
        <v>233</v>
      </c>
      <c r="V18" s="68">
        <v>4.8000000000000001E-2</v>
      </c>
    </row>
    <row r="19" spans="2:22" x14ac:dyDescent="0.3">
      <c r="C19" t="s">
        <v>239</v>
      </c>
      <c r="D19" s="101">
        <f>D15/(1+V4)^5</f>
        <v>97385.582487614069</v>
      </c>
      <c r="E19" s="101"/>
      <c r="F19" s="101">
        <f>F15/(1+V4)^5</f>
        <v>994683.25344167254</v>
      </c>
    </row>
    <row r="20" spans="2:22" x14ac:dyDescent="0.3">
      <c r="C20" s="1" t="s">
        <v>240</v>
      </c>
      <c r="D20" s="102">
        <f>SUM(D18:D19)</f>
        <v>129659.99041191211</v>
      </c>
      <c r="E20" s="101"/>
      <c r="F20" s="102">
        <f>SUM(F18:F19)</f>
        <v>1026957.6613659706</v>
      </c>
    </row>
    <row r="21" spans="2:22" x14ac:dyDescent="0.3">
      <c r="B21" t="s">
        <v>118</v>
      </c>
      <c r="C21" t="s">
        <v>241</v>
      </c>
      <c r="D21" s="101">
        <f>-W7</f>
        <v>-58314</v>
      </c>
      <c r="E21" s="101"/>
      <c r="F21" s="101">
        <f>D21</f>
        <v>-58314</v>
      </c>
      <c r="U21" t="s">
        <v>236</v>
      </c>
      <c r="V21" s="24">
        <v>0.21</v>
      </c>
    </row>
    <row r="22" spans="2:22" x14ac:dyDescent="0.3">
      <c r="B22" t="s">
        <v>118</v>
      </c>
      <c r="C22" t="s">
        <v>242</v>
      </c>
      <c r="D22" s="101">
        <v>0</v>
      </c>
      <c r="E22" s="101"/>
      <c r="F22" s="101">
        <f t="shared" ref="F22:F25" si="1">D22</f>
        <v>0</v>
      </c>
    </row>
    <row r="23" spans="2:22" x14ac:dyDescent="0.3">
      <c r="B23" t="s">
        <v>118</v>
      </c>
      <c r="C23" t="s">
        <v>243</v>
      </c>
      <c r="D23" s="101">
        <f>-'Operating Model - IS, BS, CF'!F63</f>
        <v>-77297</v>
      </c>
      <c r="E23" s="101"/>
      <c r="F23" s="101">
        <f t="shared" si="1"/>
        <v>-77297</v>
      </c>
    </row>
    <row r="24" spans="2:22" x14ac:dyDescent="0.3">
      <c r="B24" t="s">
        <v>118</v>
      </c>
      <c r="C24" t="s">
        <v>244</v>
      </c>
      <c r="D24" s="101">
        <v>0</v>
      </c>
      <c r="E24" s="101"/>
      <c r="F24" s="101">
        <f t="shared" si="1"/>
        <v>0</v>
      </c>
    </row>
    <row r="25" spans="2:22" x14ac:dyDescent="0.3">
      <c r="B25" t="s">
        <v>117</v>
      </c>
      <c r="C25" t="s">
        <v>245</v>
      </c>
      <c r="D25" s="101">
        <f>'Operating Model - IS, BS, CF'!F37+'Operating Model - IS, BS, CF'!F38</f>
        <v>86780</v>
      </c>
      <c r="E25" s="101"/>
      <c r="F25" s="101">
        <f t="shared" si="1"/>
        <v>86780</v>
      </c>
    </row>
    <row r="26" spans="2:22" x14ac:dyDescent="0.3">
      <c r="C26" s="1" t="s">
        <v>246</v>
      </c>
      <c r="D26" s="102">
        <f>SUM(D20:D25)</f>
        <v>80828.990411912106</v>
      </c>
      <c r="E26" s="101"/>
      <c r="F26" s="102">
        <f>SUM(F20:F25)</f>
        <v>978126.66136597062</v>
      </c>
    </row>
    <row r="27" spans="2:22" x14ac:dyDescent="0.3">
      <c r="D27" s="101"/>
      <c r="E27" s="101"/>
      <c r="F27" s="101"/>
    </row>
    <row r="28" spans="2:22" x14ac:dyDescent="0.3">
      <c r="C28" t="s">
        <v>247</v>
      </c>
      <c r="D28" s="101">
        <f>Assumption!E39</f>
        <v>10387.381291</v>
      </c>
      <c r="E28" s="101"/>
      <c r="F28" s="101">
        <f>D28</f>
        <v>10387.381291</v>
      </c>
    </row>
    <row r="30" spans="2:22" x14ac:dyDescent="0.3">
      <c r="C30" t="s">
        <v>248</v>
      </c>
      <c r="D30" s="101">
        <f>D26/D28</f>
        <v>7.7814598451243189</v>
      </c>
      <c r="F30" s="101">
        <f>F26/F28</f>
        <v>94.164894304347399</v>
      </c>
    </row>
    <row r="31" spans="2:22" x14ac:dyDescent="0.3">
      <c r="F31" s="97"/>
    </row>
    <row r="35" spans="5:10" x14ac:dyDescent="0.3">
      <c r="G35" s="96"/>
      <c r="H35" s="107" t="s">
        <v>254</v>
      </c>
      <c r="I35" s="107"/>
      <c r="J35" s="96"/>
    </row>
    <row r="36" spans="5:10" x14ac:dyDescent="0.3">
      <c r="F36" s="98">
        <f>D30</f>
        <v>7.7814598451243189</v>
      </c>
      <c r="G36" s="96">
        <v>8.5000000000000006E-2</v>
      </c>
      <c r="H36" s="96">
        <v>0.09</v>
      </c>
      <c r="I36" s="96">
        <v>0.1</v>
      </c>
      <c r="J36" s="96">
        <v>0.11</v>
      </c>
    </row>
    <row r="37" spans="5:10" x14ac:dyDescent="0.3">
      <c r="F37" s="96">
        <v>0.05</v>
      </c>
      <c r="G37" s="32">
        <f t="dataTable" ref="G37:J40" dt2D="1" dtr="1" r1="V4" r2="D16" ca="1"/>
        <v>13.396416518075837</v>
      </c>
      <c r="H37" s="32">
        <v>11.204301069492191</v>
      </c>
      <c r="I37" s="32">
        <v>8.1339025745079958</v>
      </c>
      <c r="J37" s="32">
        <v>6.0854042204319629</v>
      </c>
    </row>
    <row r="38" spans="5:10" x14ac:dyDescent="0.3">
      <c r="E38" s="107" t="s">
        <v>250</v>
      </c>
      <c r="F38" s="96">
        <v>0.06</v>
      </c>
      <c r="G38" s="32">
        <v>19.541929151359433</v>
      </c>
      <c r="H38" s="103">
        <v>15.603745978642309</v>
      </c>
      <c r="I38" s="32">
        <v>10.678882641975143</v>
      </c>
      <c r="J38" s="32">
        <v>7.7217382104909422</v>
      </c>
    </row>
    <row r="39" spans="5:10" x14ac:dyDescent="0.3">
      <c r="E39" s="107"/>
      <c r="F39" s="96">
        <v>7.0000000000000007E-2</v>
      </c>
      <c r="G39" s="32">
        <v>33.881458629021196</v>
      </c>
      <c r="H39" s="32">
        <v>24.402635796942569</v>
      </c>
      <c r="I39" s="32">
        <v>14.920516087753741</v>
      </c>
      <c r="J39" s="32">
        <v>10.176239195579416</v>
      </c>
    </row>
    <row r="40" spans="5:10" x14ac:dyDescent="0.3">
      <c r="F40" s="96">
        <v>0.08</v>
      </c>
      <c r="G40" s="32">
        <v>105.57910601732983</v>
      </c>
      <c r="H40" s="32">
        <v>50.7993052518433</v>
      </c>
      <c r="I40" s="32">
        <v>23.403782979310911</v>
      </c>
      <c r="J40" s="32">
        <v>14.267074170726868</v>
      </c>
    </row>
    <row r="41" spans="5:10" x14ac:dyDescent="0.3">
      <c r="F41" s="24"/>
    </row>
    <row r="43" spans="5:10" x14ac:dyDescent="0.3">
      <c r="H43" s="107" t="s">
        <v>254</v>
      </c>
      <c r="I43" s="107"/>
    </row>
    <row r="44" spans="5:10" x14ac:dyDescent="0.3">
      <c r="F44" s="98">
        <f>F30</f>
        <v>94.164894304347399</v>
      </c>
      <c r="G44" s="96">
        <v>8.5000000000000006E-2</v>
      </c>
      <c r="H44" s="96">
        <v>0.09</v>
      </c>
      <c r="I44" s="96">
        <v>0.1</v>
      </c>
      <c r="J44" s="96">
        <v>0.11</v>
      </c>
    </row>
    <row r="45" spans="5:10" x14ac:dyDescent="0.3">
      <c r="F45" s="73">
        <v>11</v>
      </c>
      <c r="G45" s="32">
        <f t="dataTable" ref="G45:J48" dt2D="1" dtr="1" r1="V4" r2="F13"/>
        <v>85.8969007974367</v>
      </c>
      <c r="H45" s="32">
        <v>83.873400532892774</v>
      </c>
      <c r="I45" s="32">
        <v>79.988673918999154</v>
      </c>
      <c r="J45" s="32">
        <v>76.30915356796659</v>
      </c>
    </row>
    <row r="46" spans="5:10" x14ac:dyDescent="0.3">
      <c r="E46" s="1" t="s">
        <v>255</v>
      </c>
      <c r="F46" s="73">
        <v>12</v>
      </c>
      <c r="G46" s="32">
        <v>93.839506252440955</v>
      </c>
      <c r="H46" s="32">
        <v>91.635499772169624</v>
      </c>
      <c r="I46" s="32">
        <v>87.404307370429095</v>
      </c>
      <c r="J46" s="32">
        <v>83.396714192337839</v>
      </c>
    </row>
    <row r="47" spans="5:10" x14ac:dyDescent="0.3">
      <c r="F47" s="73">
        <v>13</v>
      </c>
      <c r="G47" s="32">
        <v>101.78211170744524</v>
      </c>
      <c r="H47" s="32">
        <v>99.397599011446474</v>
      </c>
      <c r="I47" s="32">
        <v>94.819940821859035</v>
      </c>
      <c r="J47" s="32">
        <v>90.484274816709103</v>
      </c>
    </row>
    <row r="48" spans="5:10" x14ac:dyDescent="0.3">
      <c r="F48" s="73">
        <v>14</v>
      </c>
      <c r="G48" s="32">
        <v>109.72471716244952</v>
      </c>
      <c r="H48" s="32">
        <v>107.15969825072335</v>
      </c>
      <c r="I48" s="32">
        <v>102.235574273289</v>
      </c>
      <c r="J48" s="32">
        <v>97.571835441080353</v>
      </c>
    </row>
    <row r="51" spans="6:9" x14ac:dyDescent="0.3">
      <c r="G51" t="s">
        <v>258</v>
      </c>
      <c r="H51" t="s">
        <v>257</v>
      </c>
      <c r="I51" t="s">
        <v>259</v>
      </c>
    </row>
    <row r="52" spans="6:9" x14ac:dyDescent="0.3">
      <c r="F52" t="s">
        <v>252</v>
      </c>
      <c r="G52" s="32">
        <f>MIN(G37:J40)</f>
        <v>6.0854042204319629</v>
      </c>
      <c r="H52" s="47">
        <f t="shared" ref="H52:H53" si="2">I52-G52</f>
        <v>99.493701796897867</v>
      </c>
      <c r="I52" s="32">
        <f>MAX(G37:J40)</f>
        <v>105.57910601732983</v>
      </c>
    </row>
    <row r="53" spans="6:9" x14ac:dyDescent="0.3">
      <c r="F53" t="s">
        <v>251</v>
      </c>
      <c r="G53" s="32">
        <f>MIN(G45:J48)</f>
        <v>76.30915356796659</v>
      </c>
      <c r="H53" s="47">
        <f t="shared" si="2"/>
        <v>33.415563594482933</v>
      </c>
      <c r="I53" s="32">
        <f>MAX(G45:J48)</f>
        <v>109.72471716244952</v>
      </c>
    </row>
    <row r="54" spans="6:9" x14ac:dyDescent="0.3">
      <c r="F54" t="s">
        <v>256</v>
      </c>
      <c r="G54" s="18">
        <v>81.430000000000007</v>
      </c>
      <c r="H54">
        <f>I54-G54</f>
        <v>151.57</v>
      </c>
      <c r="I54" s="18">
        <v>233</v>
      </c>
    </row>
  </sheetData>
  <mergeCells count="4">
    <mergeCell ref="D3:K3"/>
    <mergeCell ref="E38:E39"/>
    <mergeCell ref="H35:I35"/>
    <mergeCell ref="H43:I4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Assumption</vt:lpstr>
      <vt:lpstr>Scenerio</vt:lpstr>
      <vt:lpstr>Revenue model</vt:lpstr>
      <vt:lpstr>Operating Model - IS, BS, CF</vt:lpstr>
      <vt:lpstr>Ratio Analysis</vt:lpstr>
      <vt:lpstr>D&amp;A Schedule</vt:lpstr>
      <vt:lpstr>Working Cap Schedule</vt:lpstr>
      <vt:lpstr>Debt and Interest Schedule </vt:lpstr>
      <vt:lpstr>Equity Schedule</vt:lpstr>
      <vt:lpstr>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CFI</dc:creator>
  <cp:lastModifiedBy>Win 10</cp:lastModifiedBy>
  <dcterms:created xsi:type="dcterms:W3CDTF">2020-09-08T15:19:35Z</dcterms:created>
  <dcterms:modified xsi:type="dcterms:W3CDTF">2025-09-13T10:28:10Z</dcterms:modified>
</cp:coreProperties>
</file>